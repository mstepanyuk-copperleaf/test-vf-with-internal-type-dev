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VFTestTool\2018-10-24\Oct30\SampleCalc\"/>
    </mc:Choice>
  </mc:AlternateContent>
  <xr:revisionPtr revIDLastSave="0" documentId="13_ncr:1_{5304C12B-5E0E-4143-94E8-C9470A6C2265}" xr6:coauthVersionLast="37" xr6:coauthVersionMax="37" xr10:uidLastSave="{00000000-0000-0000-0000-000000000000}"/>
  <bookViews>
    <workbookView xWindow="1272" yWindow="180" windowWidth="24756" windowHeight="11496" firstSheet="2" activeTab="6" xr2:uid="{00000000-000D-0000-FFFF-FFFF00000000}"/>
  </bookViews>
  <sheets>
    <sheet name="Map" sheetId="4" r:id="rId1"/>
    <sheet name="EnvironmentalBenefit_Map" sheetId="2" r:id="rId2"/>
    <sheet name="EnvironmentalBenefit" sheetId="1" r:id="rId3"/>
    <sheet name="CostAvoidance_Map" sheetId="5" r:id="rId4"/>
    <sheet name="CostAvoidance" sheetId="6" r:id="rId5"/>
    <sheet name="SafetyRisk_Map" sheetId="8" r:id="rId6"/>
    <sheet name="SafetyRisk" sheetId="9" r:id="rId7"/>
  </sheets>
  <externalReferences>
    <externalReference r:id="rId8"/>
  </externalReferences>
  <definedNames>
    <definedName name="BulkTAIR" localSheetId="4">#REF!</definedName>
    <definedName name="BulkTAIR" localSheetId="3">#REF!</definedName>
    <definedName name="BulkTAIR" localSheetId="6">#REF!</definedName>
    <definedName name="BulkTAIR" localSheetId="5">#REF!</definedName>
    <definedName name="BulkTAIR">#REF!</definedName>
    <definedName name="BulkTAIRConsequence" localSheetId="4">#REF!</definedName>
    <definedName name="BulkTAIRConsequence" localSheetId="3">#REF!</definedName>
    <definedName name="BulkTAIRConsequence" localSheetId="6">#REF!</definedName>
    <definedName name="BulkTAIRConsequence" localSheetId="5">#REF!</definedName>
    <definedName name="BulkTAIRConsequence">#REF!</definedName>
    <definedName name="CriticalSegmentLoad" localSheetId="4">#REF!</definedName>
    <definedName name="CriticalSegmentLoad" localSheetId="3">#REF!</definedName>
    <definedName name="CriticalSegmentLoad" localSheetId="6">#REF!</definedName>
    <definedName name="CriticalSegmentLoad" localSheetId="5">#REF!</definedName>
    <definedName name="CriticalSegmentLoad">#REF!</definedName>
    <definedName name="CustomerTAIR" localSheetId="4">#REF!</definedName>
    <definedName name="CustomerTAIR" localSheetId="3">#REF!</definedName>
    <definedName name="CustomerTAIR" localSheetId="6">#REF!</definedName>
    <definedName name="CustomerTAIR" localSheetId="5">#REF!</definedName>
    <definedName name="CustomerTAIR">#REF!</definedName>
    <definedName name="CustomerTAIRConsequence" localSheetId="4">#REF!</definedName>
    <definedName name="CustomerTAIRConsequence" localSheetId="3">#REF!</definedName>
    <definedName name="CustomerTAIRConsequence" localSheetId="6">#REF!</definedName>
    <definedName name="CustomerTAIRConsequence" localSheetId="5">#REF!</definedName>
    <definedName name="CustomerTAIRConsequence">#REF!</definedName>
    <definedName name="ExtraDamageFactor" localSheetId="4">#REF!</definedName>
    <definedName name="ExtraDamageFactor" localSheetId="3">#REF!</definedName>
    <definedName name="ExtraDamageFactor" localSheetId="6">#REF!</definedName>
    <definedName name="ExtraDamageFactor" localSheetId="5">#REF!</definedName>
    <definedName name="ExtraDamageFactor">#REF!</definedName>
    <definedName name="NonCriticalSegmentOutage" localSheetId="4">#REF!</definedName>
    <definedName name="NonCriticalSegmentOutage" localSheetId="3">#REF!</definedName>
    <definedName name="NonCriticalSegmentOutage" localSheetId="6">#REF!</definedName>
    <definedName name="NonCriticalSegmentOutage" localSheetId="5">#REF!</definedName>
    <definedName name="NonCriticalSegmentOutage">#REF!</definedName>
    <definedName name="OutcomeAnswers">'[1]QuestionnaireAnswers-O-Other'!$A:$AS</definedName>
    <definedName name="ReplacementCost" localSheetId="4">#REF!</definedName>
    <definedName name="ReplacementCost" localSheetId="3">#REF!</definedName>
    <definedName name="ReplacementCost" localSheetId="6">#REF!</definedName>
    <definedName name="ReplacementCost" localSheetId="5">#REF!</definedName>
    <definedName name="ReplacementCost">#REF!</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55" i="9" l="1"/>
  <c r="E55" i="9"/>
  <c r="F54" i="9"/>
  <c r="E54" i="9"/>
  <c r="E56" i="9" l="1"/>
  <c r="F56" i="9"/>
  <c r="E58" i="6"/>
  <c r="F58" i="6" s="1"/>
  <c r="E57" i="6"/>
  <c r="G56" i="9" l="1"/>
  <c r="F59" i="6"/>
  <c r="E59" i="6"/>
  <c r="F54" i="1"/>
  <c r="E41" i="1"/>
  <c r="E39" i="1"/>
  <c r="G59" i="6" l="1"/>
  <c r="F53" i="1"/>
  <c r="F55" i="1" s="1"/>
  <c r="G5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Joy</author>
  </authors>
  <commentList>
    <comment ref="D10" authorId="0" shapeId="0" xr:uid="{00000000-0006-0000-0200-000001000000}">
      <text>
        <r>
          <rPr>
            <b/>
            <sz val="9"/>
            <color indexed="81"/>
            <rFont val="Tahoma"/>
            <family val="2"/>
          </rPr>
          <t>Mike Joy:</t>
        </r>
        <r>
          <rPr>
            <sz val="9"/>
            <color indexed="81"/>
            <rFont val="Tahoma"/>
            <family val="2"/>
          </rPr>
          <t xml:space="preserve">
Outcome Only</t>
        </r>
      </text>
    </comment>
    <comment ref="G10" authorId="0" shapeId="0" xr:uid="{00000000-0006-0000-0200-000002000000}">
      <text>
        <r>
          <rPr>
            <b/>
            <sz val="9"/>
            <color indexed="81"/>
            <rFont val="Tahoma"/>
            <family val="2"/>
          </rPr>
          <t>Mike Joy:</t>
        </r>
        <r>
          <rPr>
            <sz val="9"/>
            <color indexed="81"/>
            <rFont val="Tahoma"/>
            <family val="2"/>
          </rPr>
          <t xml:space="preserve">
Max 64 characters
</t>
        </r>
      </text>
    </comment>
    <comment ref="L10" authorId="0" shapeId="0" xr:uid="{00000000-0006-0000-0200-000003000000}">
      <text>
        <r>
          <rPr>
            <b/>
            <sz val="9"/>
            <color indexed="81"/>
            <rFont val="Tahoma"/>
            <family val="2"/>
          </rPr>
          <t>Mike Joy:</t>
        </r>
        <r>
          <rPr>
            <sz val="9"/>
            <color indexed="81"/>
            <rFont val="Tahoma"/>
            <family val="2"/>
          </rPr>
          <t xml:space="preserve">
Max 2000 characters</t>
        </r>
      </text>
    </comment>
    <comment ref="B25" authorId="0" shapeId="0" xr:uid="{00000000-0006-0000-0200-000004000000}">
      <text>
        <r>
          <rPr>
            <b/>
            <sz val="9"/>
            <color indexed="81"/>
            <rFont val="Tahoma"/>
            <family val="2"/>
          </rPr>
          <t>Mike Joy:</t>
        </r>
        <r>
          <rPr>
            <sz val="9"/>
            <color indexed="81"/>
            <rFont val="Tahoma"/>
            <family val="2"/>
          </rPr>
          <t xml:space="preserve">
No time varying fields</t>
        </r>
      </text>
    </comment>
    <comment ref="B47" authorId="0" shapeId="0" xr:uid="{00000000-0006-0000-0200-000005000000}">
      <text>
        <r>
          <rPr>
            <b/>
            <sz val="9"/>
            <color indexed="81"/>
            <rFont val="Tahoma"/>
            <family val="2"/>
          </rPr>
          <t>Mike Joy:</t>
        </r>
        <r>
          <rPr>
            <sz val="9"/>
            <color indexed="81"/>
            <rFont val="Tahoma"/>
            <family val="2"/>
          </rPr>
          <t xml:space="preserve">
(No baseline questionnaire)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Joy</author>
  </authors>
  <commentList>
    <comment ref="G9" authorId="0" shapeId="0" xr:uid="{00000000-0006-0000-0400-000001000000}">
      <text>
        <r>
          <rPr>
            <b/>
            <sz val="9"/>
            <color indexed="81"/>
            <rFont val="Tahoma"/>
            <family val="2"/>
          </rPr>
          <t>Mike Joy:</t>
        </r>
        <r>
          <rPr>
            <sz val="9"/>
            <color indexed="81"/>
            <rFont val="Tahoma"/>
            <family val="2"/>
          </rPr>
          <t xml:space="preserve">
Max 64 characters
</t>
        </r>
      </text>
    </comment>
    <comment ref="L9" authorId="0" shapeId="0" xr:uid="{00000000-0006-0000-0400-000002000000}">
      <text>
        <r>
          <rPr>
            <b/>
            <sz val="9"/>
            <color indexed="81"/>
            <rFont val="Tahoma"/>
            <family val="2"/>
          </rPr>
          <t>Mike Joy:</t>
        </r>
        <r>
          <rPr>
            <sz val="9"/>
            <color indexed="81"/>
            <rFont val="Tahoma"/>
            <family val="2"/>
          </rPr>
          <t xml:space="preserve">
Max 2000 characters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Mike Joy</author>
  </authors>
  <commentList>
    <comment ref="G9" authorId="0" shapeId="0" xr:uid="{00000000-0006-0000-0600-000001000000}">
      <text>
        <r>
          <rPr>
            <b/>
            <sz val="9"/>
            <color indexed="81"/>
            <rFont val="Tahoma"/>
            <family val="2"/>
          </rPr>
          <t>Mike Joy:</t>
        </r>
        <r>
          <rPr>
            <sz val="9"/>
            <color indexed="81"/>
            <rFont val="Tahoma"/>
            <family val="2"/>
          </rPr>
          <t xml:space="preserve">
Max 64 characters
</t>
        </r>
      </text>
    </comment>
    <comment ref="L9" authorId="0" shapeId="0" xr:uid="{00000000-0006-0000-0600-000002000000}">
      <text>
        <r>
          <rPr>
            <b/>
            <sz val="9"/>
            <color indexed="81"/>
            <rFont val="Tahoma"/>
            <family val="2"/>
          </rPr>
          <t>Mike Joy:</t>
        </r>
        <r>
          <rPr>
            <sz val="9"/>
            <color indexed="81"/>
            <rFont val="Tahoma"/>
            <family val="2"/>
          </rPr>
          <t xml:space="preserve">
Max 2000 characters</t>
        </r>
      </text>
    </comment>
    <comment ref="C12" authorId="0" shapeId="0" xr:uid="{00000000-0006-0000-0600-000003000000}">
      <text>
        <r>
          <rPr>
            <b/>
            <sz val="9"/>
            <color indexed="81"/>
            <rFont val="Tahoma"/>
            <family val="2"/>
          </rPr>
          <t>Mike Joy:</t>
        </r>
        <r>
          <rPr>
            <sz val="9"/>
            <color indexed="81"/>
            <rFont val="Tahoma"/>
            <family val="2"/>
          </rPr>
          <t xml:space="preserve">
Outcome Override Questionnaire has exactly the same fields as the Baseline Questionnaire.</t>
        </r>
      </text>
    </comment>
  </commentList>
</comments>
</file>

<file path=xl/sharedStrings.xml><?xml version="1.0" encoding="utf-8"?>
<sst xmlns="http://schemas.openxmlformats.org/spreadsheetml/2006/main" count="451" uniqueCount="173">
  <si>
    <t>INPUTS</t>
  </si>
  <si>
    <t>Source</t>
  </si>
  <si>
    <t>Units</t>
  </si>
  <si>
    <t>Outcome</t>
  </si>
  <si>
    <t>Cfg Fields:</t>
  </si>
  <si>
    <t>MPV.Code</t>
  </si>
  <si>
    <t>ValueMeasure.Units</t>
  </si>
  <si>
    <t>PromptText</t>
  </si>
  <si>
    <t>Description</t>
  </si>
  <si>
    <t>DefaultMeasureVarValue</t>
  </si>
  <si>
    <t>Code</t>
  </si>
  <si>
    <t>NumberMaxValue</t>
  </si>
  <si>
    <t>NumberMinValue</t>
  </si>
  <si>
    <t>NumberDecimalPlaces</t>
  </si>
  <si>
    <t>Config Field Attribute</t>
  </si>
  <si>
    <t>Type</t>
  </si>
  <si>
    <t>CF.CustomFieldType</t>
  </si>
  <si>
    <t>CF.Code</t>
  </si>
  <si>
    <t>MPV.Description</t>
  </si>
  <si>
    <t>CF.Description</t>
  </si>
  <si>
    <t>Max Value</t>
  </si>
  <si>
    <t>Min Value</t>
  </si>
  <si>
    <t>Num Decimal Places</t>
  </si>
  <si>
    <t>CF.NumberMaxValue</t>
  </si>
  <si>
    <t>CF.NumberMinValue</t>
  </si>
  <si>
    <t>CF.NumberDecimalPlaces</t>
  </si>
  <si>
    <t>Default Value</t>
  </si>
  <si>
    <t>CF.Name</t>
  </si>
  <si>
    <t>Measure.Code</t>
  </si>
  <si>
    <t>Measure.Name</t>
  </si>
  <si>
    <t>External Measure Inputs:</t>
  </si>
  <si>
    <t>This is where you would list any measure inputs that come from other models</t>
  </si>
  <si>
    <t>Model Code</t>
  </si>
  <si>
    <t>Prompt Text</t>
  </si>
  <si>
    <t>Name</t>
  </si>
  <si>
    <t>Time Invariant</t>
  </si>
  <si>
    <t>Time Varying</t>
  </si>
  <si>
    <t>Prompt #</t>
  </si>
  <si>
    <t>Example Values</t>
  </si>
  <si>
    <t>DropDown List Values</t>
  </si>
  <si>
    <t>DropDown List Options</t>
  </si>
  <si>
    <t>CustomFieldList</t>
  </si>
  <si>
    <t>Percent</t>
  </si>
  <si>
    <t>TEST</t>
  </si>
  <si>
    <t>Provide any rationale or assumptions for the numbers provided</t>
  </si>
  <si>
    <t>Rationale</t>
  </si>
  <si>
    <t>What is the probability of this benefit being achieved? (%)</t>
  </si>
  <si>
    <t>$</t>
  </si>
  <si>
    <t>%</t>
  </si>
  <si>
    <t>INTERMEDIATE CALCULATIONS</t>
  </si>
  <si>
    <t>Baseline (N/A)</t>
  </si>
  <si>
    <t>Outcome Questionnaire: Environmental Benefit</t>
  </si>
  <si>
    <t>CO2 Reduction</t>
  </si>
  <si>
    <t>SF6 Reduction</t>
  </si>
  <si>
    <t>Energy Savings</t>
  </si>
  <si>
    <t>Benefit Probability NTV</t>
  </si>
  <si>
    <t>What is the quantity of CO2 emissions that will be reduced each year? (tonnes)</t>
  </si>
  <si>
    <t>What is the quantity of SF6 emissions that will be reduced each year? (kg)</t>
  </si>
  <si>
    <t>If investment is completed, how much energy is expected to be saved per year (e.g. reduced consumption)? (KWh)</t>
  </si>
  <si>
    <t>kg</t>
  </si>
  <si>
    <t>tonnes</t>
  </si>
  <si>
    <t>kWh</t>
  </si>
  <si>
    <t>Environmental Benefit</t>
  </si>
  <si>
    <t>System</t>
  </si>
  <si>
    <t>GHG Value</t>
  </si>
  <si>
    <t>ValuePerTonneCO2</t>
  </si>
  <si>
    <t>ValuePerKgSF6</t>
  </si>
  <si>
    <t>ValuePerMWPowerSavings</t>
  </si>
  <si>
    <t>Test Case 1: Outcome Questionnaire</t>
  </si>
  <si>
    <t>n/a</t>
  </si>
  <si>
    <t>Value - Baseline</t>
  </si>
  <si>
    <t>Value - Outcome</t>
  </si>
  <si>
    <t>Scaling Factor (Constant)</t>
  </si>
  <si>
    <t>Need to clarify how this was derived</t>
  </si>
  <si>
    <t>#MODEL&gt;</t>
  </si>
  <si>
    <t>#SYSTEM_NAME</t>
  </si>
  <si>
    <t>#SYSTEM_VALUE</t>
  </si>
  <si>
    <t>CL.FormulaHelper.FormulaBase.FiscalYearEndMonth</t>
  </si>
  <si>
    <t>#CODE</t>
  </si>
  <si>
    <t>#DROP_DOWN_LIST_OPTIONS</t>
  </si>
  <si>
    <t>#DROP_DOWN_LIST_VALUES</t>
  </si>
  <si>
    <t>#VALUE_MEASURE_CALCS</t>
  </si>
  <si>
    <t>#TEST&gt;</t>
  </si>
  <si>
    <t>#TEST_DESCRIPTION&gt;</t>
  </si>
  <si>
    <t>#BASELINE_QUESTIONNAIRE&gt;</t>
  </si>
  <si>
    <t>#OUTCOME_QUESTIONNAIRE&gt;</t>
  </si>
  <si>
    <t>#TEST_FISCAL_YEAR&gt;</t>
  </si>
  <si>
    <t>#VALUE_MEASURE</t>
  </si>
  <si>
    <t>#FORMULA_TYPE</t>
  </si>
  <si>
    <t>#BASELINE</t>
  </si>
  <si>
    <t>#OUTCOME</t>
  </si>
  <si>
    <t>#CHANGE</t>
  </si>
  <si>
    <t>#Consequence</t>
  </si>
  <si>
    <t>#Likelihood</t>
  </si>
  <si>
    <t>#TestValue</t>
  </si>
  <si>
    <t>n/a (Outcome Only)</t>
  </si>
  <si>
    <t>#END_TEST</t>
  </si>
  <si>
    <t>Key</t>
  </si>
  <si>
    <t>Row</t>
  </si>
  <si>
    <t>Col</t>
  </si>
  <si>
    <t>SystemEnergySavingsValueDollarsPerMWh</t>
  </si>
  <si>
    <t>SystemGHGValue</t>
  </si>
  <si>
    <t>startFiscalYear</t>
  </si>
  <si>
    <t>months</t>
  </si>
  <si>
    <t>Map Name</t>
  </si>
  <si>
    <t>Model Name</t>
  </si>
  <si>
    <t>Cost Avoidance</t>
  </si>
  <si>
    <t>Baseline</t>
  </si>
  <si>
    <t>Baseline Questionnaire: Cost Avoidance</t>
  </si>
  <si>
    <t>Which account type does this affect?</t>
  </si>
  <si>
    <t>A) Capital</t>
  </si>
  <si>
    <t>Account Type</t>
  </si>
  <si>
    <t>Custom Dropdown</t>
  </si>
  <si>
    <t>B) OMA</t>
  </si>
  <si>
    <t>Almost Certain</t>
  </si>
  <si>
    <t>TEXT</t>
  </si>
  <si>
    <t>Costs incurred if this investment is not undertaken ($)</t>
  </si>
  <si>
    <t>Costs incurred if this investment is not undertaken</t>
  </si>
  <si>
    <t>Hours incurred if this investment is not undertaken</t>
  </si>
  <si>
    <t>hours</t>
  </si>
  <si>
    <t>Benefit Probability</t>
  </si>
  <si>
    <t>Outcome Questionnaire: Automated Cost Avoidance</t>
  </si>
  <si>
    <t>(this is an automated questionnaire which sets the value to 0 after end of spend)</t>
  </si>
  <si>
    <t>Cost per Labour Hour</t>
  </si>
  <si>
    <t>VALUE MEASURE CALCULATIONS</t>
  </si>
  <si>
    <t>Test Case 1: Baseline Questionnaire with Automated Outcome Questionnaire</t>
  </si>
  <si>
    <t>Questionnaire:</t>
  </si>
  <si>
    <t>Automated Cost Avoidance</t>
  </si>
  <si>
    <t>Fiscal Year:</t>
  </si>
  <si>
    <t>RiskConsquence</t>
  </si>
  <si>
    <t>RiskProbabiltiy</t>
  </si>
  <si>
    <t>CostAvoidance</t>
  </si>
  <si>
    <t>CostAvoidance_Map</t>
  </si>
  <si>
    <t>Safety Risk</t>
  </si>
  <si>
    <t>Baseline Questionnaire: Manual Risk</t>
  </si>
  <si>
    <t>Outcome Questionnaire: Manual Risk</t>
  </si>
  <si>
    <t>Risk Consequence</t>
  </si>
  <si>
    <t>Moderate</t>
  </si>
  <si>
    <t>Minor</t>
  </si>
  <si>
    <t>Value Units</t>
  </si>
  <si>
    <t>RiskConsequence</t>
  </si>
  <si>
    <t>None</t>
  </si>
  <si>
    <t>Consequence DropDown</t>
  </si>
  <si>
    <t>Consequence of a risk</t>
  </si>
  <si>
    <t>Very Minor</t>
  </si>
  <si>
    <t>Major</t>
  </si>
  <si>
    <t>Catastrophic</t>
  </si>
  <si>
    <t>Extreme</t>
  </si>
  <si>
    <t>Risk Probability</t>
  </si>
  <si>
    <t>Once in 10 years</t>
  </si>
  <si>
    <t>Once in 33 years</t>
  </si>
  <si>
    <t>Once in 10,000 years</t>
  </si>
  <si>
    <t>Likelihood DropDown</t>
  </si>
  <si>
    <t>Probability of a risk</t>
  </si>
  <si>
    <t>Once in 1000 years</t>
  </si>
  <si>
    <t>Once in 333 years</t>
  </si>
  <si>
    <t>Once in 3 years</t>
  </si>
  <si>
    <t>Risk Comment</t>
  </si>
  <si>
    <t>RiskComment</t>
  </si>
  <si>
    <t>Provide the background information justifying selection of answers</t>
  </si>
  <si>
    <t>Test Case 1: Baseline Questionnaire with Override Outcome Questionnaire</t>
  </si>
  <si>
    <t>Manual Risk</t>
  </si>
  <si>
    <t>EnvironmentalBenefit_Map</t>
  </si>
  <si>
    <t>EnvironmentalBenefit</t>
  </si>
  <si>
    <t>SafetyRisk</t>
  </si>
  <si>
    <t>SafetyRisk_Map</t>
  </si>
  <si>
    <t>#NON_FORMULA</t>
  </si>
  <si>
    <t>#NF_OUTCOME</t>
  </si>
  <si>
    <t>#NF_BASELINE</t>
  </si>
  <si>
    <t>Cost Avoidance - Financial Benefits</t>
  </si>
  <si>
    <t>TimePeriod|StartTime</t>
  </si>
  <si>
    <t>TimePeriod|DurationInMonths</t>
  </si>
  <si>
    <t>01/01/2018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</si>
</sst>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000"/>
    <numFmt numFmtId="165" formatCode="_-* #,##0_-;\-* #,##0_-;_-* &quot;-&quot;??_-;_-@_-"/>
    <numFmt numFmtId="166" formatCode="_-* #,##0.000_-;\-* #,##0.000_-;_-* &quot;-&quot;??_-;_-@_-"/>
    <numFmt numFmtId="167" formatCode="0.0"/>
  </numFmts>
  <fonts count="19" x14ac:knownFonts="1">
    <font>
      <sz val="11"/>
      <color theme="1"/>
      <name val="Calibri"/>
      <family val="2"/>
      <scheme val="minor"/>
    </font>
    <font>
      <sz val="11"/>
      <color theme="1"/>
      <name val="Calibri"/>
      <family val="2"/>
      <scheme val="minor"/>
    </font>
    <font>
      <sz val="11"/>
      <color theme="1"/>
      <name val="Calibri"/>
      <family val="2"/>
    </font>
    <font>
      <b/>
      <sz val="11"/>
      <color rgb="FF000000"/>
      <name val="Calibri"/>
      <family val="2"/>
    </font>
    <font>
      <sz val="11"/>
      <color rgb="FF000000"/>
      <name val="Calibri"/>
      <family val="2"/>
    </font>
    <font>
      <sz val="9"/>
      <color indexed="81"/>
      <name val="Tahoma"/>
      <family val="2"/>
    </font>
    <font>
      <b/>
      <sz val="9"/>
      <color indexed="81"/>
      <name val="Tahoma"/>
      <family val="2"/>
    </font>
    <font>
      <b/>
      <sz val="11"/>
      <color theme="1"/>
      <name val="Calibri"/>
      <family val="2"/>
      <scheme val="minor"/>
    </font>
    <font>
      <i/>
      <sz val="11"/>
      <color theme="1"/>
      <name val="Calibri"/>
      <family val="2"/>
      <scheme val="minor"/>
    </font>
    <font>
      <b/>
      <sz val="11"/>
      <color theme="1"/>
      <name val="Calibri"/>
      <family val="2"/>
    </font>
    <font>
      <i/>
      <sz val="11"/>
      <color theme="1"/>
      <name val="Calibri"/>
      <family val="2"/>
    </font>
    <font>
      <i/>
      <sz val="11"/>
      <color rgb="FF000000"/>
      <name val="Calibri"/>
      <family val="2"/>
    </font>
    <font>
      <sz val="11"/>
      <color rgb="FF006100"/>
      <name val="Calibri"/>
      <family val="2"/>
      <scheme val="minor"/>
    </font>
    <font>
      <sz val="11"/>
      <color rgb="FF9C0006"/>
      <name val="Calibri"/>
      <family val="2"/>
      <scheme val="minor"/>
    </font>
    <font>
      <sz val="11"/>
      <color rgb="FF3F3F76"/>
      <name val="Calibri"/>
      <family val="2"/>
      <scheme val="minor"/>
    </font>
    <font>
      <b/>
      <sz val="11"/>
      <color theme="0"/>
      <name val="Calibri"/>
      <family val="2"/>
      <scheme val="minor"/>
    </font>
    <font>
      <sz val="11"/>
      <color theme="0"/>
      <name val="Calibri"/>
      <family val="2"/>
      <scheme val="minor"/>
    </font>
    <font>
      <b/>
      <sz val="11"/>
      <color theme="0"/>
      <name val="Calibri"/>
      <family val="2"/>
    </font>
    <font>
      <sz val="11"/>
      <color rgb="FF2C2C2D"/>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92D050"/>
        <bgColor rgb="FF92D050"/>
      </patternFill>
    </fill>
    <fill>
      <patternFill patternType="solid">
        <fgColor theme="0" tint="-4.9989318521683403E-2"/>
        <bgColor theme="0" tint="-4.9989318521683403E-2"/>
      </patternFill>
    </fill>
    <fill>
      <patternFill patternType="solid">
        <fgColor theme="0" tint="-0.24994659260841701"/>
        <bgColor indexed="64"/>
      </patternFill>
    </fill>
    <fill>
      <patternFill patternType="solid">
        <fgColor rgb="FFFFC000"/>
        <bgColor rgb="FF92D050"/>
      </patternFill>
    </fill>
    <fill>
      <patternFill patternType="solid">
        <fgColor theme="4" tint="0.79998168889431442"/>
        <bgColor indexed="64"/>
      </patternFill>
    </fill>
    <fill>
      <patternFill patternType="solid">
        <fgColor rgb="FFFFFFCC"/>
        <bgColor indexed="64"/>
      </patternFill>
    </fill>
    <fill>
      <patternFill patternType="solid">
        <fgColor rgb="FFEB6E21"/>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0070C0"/>
        <bgColor indexed="64"/>
      </patternFill>
    </fill>
    <fill>
      <patternFill patternType="solid">
        <fgColor rgb="FF0070C0"/>
        <bgColor rgb="FF92D050"/>
      </patternFill>
    </fill>
  </fills>
  <borders count="3">
    <border>
      <left/>
      <right/>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rgb="FF7F7F7F"/>
      </left>
      <right style="thin">
        <color rgb="FF7F7F7F"/>
      </right>
      <top style="thin">
        <color rgb="FF7F7F7F"/>
      </top>
      <bottom style="thin">
        <color rgb="FF7F7F7F"/>
      </bottom>
      <diagonal/>
    </border>
  </borders>
  <cellStyleXfs count="17">
    <xf numFmtId="0" fontId="0" fillId="0" borderId="0"/>
    <xf numFmtId="43" fontId="1" fillId="0" borderId="0" applyFont="0" applyFill="0" applyBorder="0" applyAlignment="0" applyProtection="0"/>
    <xf numFmtId="165" fontId="4" fillId="4" borderId="0" applyNumberFormat="0" applyFont="0" applyBorder="0" applyAlignment="0" applyProtection="0">
      <alignment horizontal="right"/>
    </xf>
    <xf numFmtId="0" fontId="1" fillId="5" borderId="0" applyNumberFormat="0" applyFont="0" applyBorder="0" applyAlignment="0" applyProtection="0"/>
    <xf numFmtId="0" fontId="2" fillId="6" borderId="0" applyNumberFormat="0" applyFont="0" applyBorder="0" applyAlignment="0" applyProtection="0">
      <alignment horizontal="center"/>
    </xf>
    <xf numFmtId="164" fontId="1" fillId="2" borderId="0" applyNumberFormat="0" applyFont="0" applyBorder="0" applyAlignment="0" applyProtection="0">
      <alignment horizontal="right"/>
    </xf>
    <xf numFmtId="0" fontId="1" fillId="3" borderId="0" applyNumberFormat="0" applyFont="0" applyBorder="0" applyAlignment="0" applyProtection="0">
      <alignment horizontal="right"/>
    </xf>
    <xf numFmtId="2" fontId="4" fillId="7" borderId="0" applyNumberFormat="0" applyFont="0" applyBorder="0" applyAlignment="0" applyProtection="0">
      <alignment horizontal="right"/>
    </xf>
    <xf numFmtId="0" fontId="1" fillId="8" borderId="0" applyNumberFormat="0" applyFont="0" applyBorder="0" applyAlignment="0" applyProtection="0"/>
    <xf numFmtId="0" fontId="1" fillId="9" borderId="0" applyNumberFormat="0" applyFont="0" applyBorder="0" applyAlignment="0" applyProtection="0"/>
    <xf numFmtId="0" fontId="1" fillId="10" borderId="0" applyNumberFormat="0" applyFont="0" applyBorder="0" applyAlignment="0" applyProtection="0"/>
    <xf numFmtId="0" fontId="7" fillId="3"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4" fillId="13" borderId="2" applyNumberFormat="0" applyAlignment="0" applyProtection="0"/>
  </cellStyleXfs>
  <cellXfs count="112">
    <xf numFmtId="0" fontId="0" fillId="0" borderId="0" xfId="0"/>
    <xf numFmtId="0" fontId="2" fillId="0" borderId="0" xfId="0" applyFont="1" applyFill="1" applyBorder="1"/>
    <xf numFmtId="0" fontId="3" fillId="0" borderId="0" xfId="0" applyFont="1" applyFill="1" applyBorder="1"/>
    <xf numFmtId="0" fontId="2" fillId="0" borderId="0" xfId="0" applyFont="1" applyFill="1" applyBorder="1" applyAlignment="1">
      <alignment horizontal="right"/>
    </xf>
    <xf numFmtId="0" fontId="2" fillId="0" borderId="0" xfId="0" applyFont="1" applyFill="1" applyBorder="1" applyAlignment="1">
      <alignment horizontal="center"/>
    </xf>
    <xf numFmtId="0" fontId="4" fillId="0" borderId="0" xfId="0" applyFont="1" applyFill="1" applyBorder="1"/>
    <xf numFmtId="0" fontId="2" fillId="0" borderId="0" xfId="0" applyFont="1" applyFill="1" applyBorder="1" applyAlignment="1">
      <alignment horizontal="left"/>
    </xf>
    <xf numFmtId="0" fontId="4" fillId="0" borderId="0" xfId="0" applyFont="1" applyFill="1" applyBorder="1" applyAlignment="1">
      <alignment horizontal="right"/>
    </xf>
    <xf numFmtId="0" fontId="4" fillId="0" borderId="0" xfId="0" applyFont="1" applyFill="1" applyBorder="1" applyAlignment="1">
      <alignment horizontal="center"/>
    </xf>
    <xf numFmtId="0" fontId="3" fillId="0" borderId="0" xfId="0" applyFont="1" applyFill="1" applyBorder="1" applyAlignment="1">
      <alignment horizontal="left"/>
    </xf>
    <xf numFmtId="0" fontId="4" fillId="0" borderId="0" xfId="0" applyFont="1" applyFill="1" applyBorder="1" applyAlignment="1">
      <alignment horizontal="left"/>
    </xf>
    <xf numFmtId="0" fontId="0" fillId="0" borderId="0" xfId="0" applyFill="1"/>
    <xf numFmtId="0" fontId="7" fillId="0" borderId="0" xfId="0" applyFont="1" applyFill="1"/>
    <xf numFmtId="0" fontId="9" fillId="0" borderId="0" xfId="0" applyFont="1" applyFill="1" applyBorder="1"/>
    <xf numFmtId="0" fontId="7" fillId="0" borderId="0" xfId="0" applyFont="1"/>
    <xf numFmtId="0" fontId="0" fillId="0" borderId="0" xfId="0" applyFont="1"/>
    <xf numFmtId="0" fontId="10" fillId="0" borderId="0" xfId="0" applyFont="1" applyFill="1" applyBorder="1"/>
    <xf numFmtId="0" fontId="4" fillId="0" borderId="0" xfId="2" applyNumberFormat="1" applyFont="1" applyFill="1" applyBorder="1" applyAlignment="1"/>
    <xf numFmtId="0" fontId="11" fillId="0" borderId="0" xfId="0" applyFont="1" applyFill="1" applyBorder="1"/>
    <xf numFmtId="0" fontId="8" fillId="0" borderId="0" xfId="0" applyFont="1" applyFill="1"/>
    <xf numFmtId="0" fontId="2" fillId="0" borderId="0" xfId="4" applyFont="1" applyFill="1" applyBorder="1" applyAlignment="1">
      <alignment horizontal="center"/>
    </xf>
    <xf numFmtId="0" fontId="3" fillId="9" borderId="0" xfId="9" applyFont="1" applyBorder="1" applyAlignment="1">
      <alignment horizontal="left"/>
    </xf>
    <xf numFmtId="0" fontId="3" fillId="9" borderId="0" xfId="9" applyFont="1" applyBorder="1"/>
    <xf numFmtId="0" fontId="2" fillId="9" borderId="0" xfId="9" applyFont="1" applyBorder="1" applyAlignment="1">
      <alignment horizontal="left"/>
    </xf>
    <xf numFmtId="0" fontId="0" fillId="0" borderId="0" xfId="0"/>
    <xf numFmtId="0" fontId="0" fillId="0" borderId="0" xfId="0"/>
    <xf numFmtId="0" fontId="9" fillId="0" borderId="0" xfId="0" applyFont="1" applyFill="1" applyBorder="1" applyAlignment="1">
      <alignment horizontal="center"/>
    </xf>
    <xf numFmtId="0" fontId="4" fillId="9" borderId="0" xfId="9" applyFont="1" applyBorder="1" applyAlignment="1">
      <alignment horizontal="center"/>
    </xf>
    <xf numFmtId="0" fontId="9" fillId="9" borderId="0" xfId="9" applyFont="1" applyBorder="1"/>
    <xf numFmtId="0" fontId="7" fillId="7" borderId="0" xfId="7" applyNumberFormat="1" applyFont="1" applyAlignment="1"/>
    <xf numFmtId="0" fontId="0" fillId="0" borderId="0" xfId="0"/>
    <xf numFmtId="0" fontId="2" fillId="0" borderId="0" xfId="0" applyFont="1" applyFill="1" applyBorder="1"/>
    <xf numFmtId="0" fontId="2" fillId="0" borderId="0" xfId="0" applyFont="1" applyFill="1" applyBorder="1" applyAlignment="1">
      <alignment horizontal="right"/>
    </xf>
    <xf numFmtId="0" fontId="7" fillId="0" borderId="0" xfId="11" applyFont="1" applyFill="1" applyBorder="1"/>
    <xf numFmtId="0" fontId="0" fillId="0" borderId="0" xfId="0"/>
    <xf numFmtId="0" fontId="7" fillId="0" borderId="0" xfId="11" applyFont="1" applyFill="1" applyBorder="1" applyAlignment="1">
      <alignment horizontal="left"/>
    </xf>
    <xf numFmtId="0" fontId="4" fillId="0" borderId="0" xfId="0" applyFont="1" applyFill="1" applyBorder="1" applyAlignment="1">
      <alignment horizontal="left"/>
    </xf>
    <xf numFmtId="0" fontId="2" fillId="0" borderId="0" xfId="0" applyFont="1" applyFill="1" applyBorder="1" applyAlignment="1">
      <alignment horizontal="right"/>
    </xf>
    <xf numFmtId="0" fontId="2" fillId="0" borderId="0" xfId="0" applyFont="1" applyFill="1" applyBorder="1" applyAlignment="1">
      <alignment horizontal="left"/>
    </xf>
    <xf numFmtId="0" fontId="0" fillId="5" borderId="1" xfId="3" applyFont="1" applyBorder="1"/>
    <xf numFmtId="0" fontId="0" fillId="5" borderId="1" xfId="3" applyFont="1" applyBorder="1" applyAlignment="1">
      <alignment wrapText="1"/>
    </xf>
    <xf numFmtId="0" fontId="0" fillId="5" borderId="1" xfId="3" applyFont="1" applyBorder="1" applyAlignment="1"/>
    <xf numFmtId="0" fontId="0" fillId="0" borderId="0" xfId="0"/>
    <xf numFmtId="9" fontId="4" fillId="4" borderId="0" xfId="12" applyFont="1" applyFill="1" applyBorder="1" applyAlignment="1">
      <alignment horizontal="right"/>
    </xf>
    <xf numFmtId="0" fontId="0" fillId="5" borderId="0" xfId="3" applyFont="1" applyBorder="1"/>
    <xf numFmtId="0" fontId="2" fillId="8" borderId="0" xfId="8" applyFont="1" applyBorder="1" applyAlignment="1">
      <alignment horizontal="center"/>
    </xf>
    <xf numFmtId="0" fontId="2" fillId="8" borderId="0" xfId="8" applyFont="1" applyBorder="1" applyAlignment="1">
      <alignment horizontal="right"/>
    </xf>
    <xf numFmtId="0" fontId="9" fillId="0" borderId="0" xfId="0" applyFont="1" applyFill="1" applyBorder="1" applyAlignment="1">
      <alignment horizontal="center"/>
    </xf>
    <xf numFmtId="0" fontId="9" fillId="0" borderId="0" xfId="0" applyFont="1" applyFill="1" applyBorder="1" applyAlignment="1">
      <alignment horizontal="center"/>
    </xf>
    <xf numFmtId="0" fontId="3" fillId="7" borderId="0" xfId="7" applyNumberFormat="1" applyFont="1" applyBorder="1" applyAlignment="1"/>
    <xf numFmtId="0" fontId="2" fillId="7" borderId="0" xfId="7" applyNumberFormat="1" applyFont="1" applyBorder="1" applyAlignment="1"/>
    <xf numFmtId="43" fontId="4" fillId="4" borderId="0" xfId="13" applyFont="1" applyFill="1" applyBorder="1" applyAlignment="1">
      <alignment horizontal="right"/>
    </xf>
    <xf numFmtId="0" fontId="9" fillId="0" borderId="0" xfId="0" applyFont="1" applyFill="1" applyBorder="1" applyAlignment="1">
      <alignment horizontal="right"/>
    </xf>
    <xf numFmtId="0" fontId="17" fillId="14" borderId="0" xfId="0" applyFont="1" applyFill="1" applyBorder="1"/>
    <xf numFmtId="0" fontId="0" fillId="0" borderId="0" xfId="0" applyAlignment="1">
      <alignment wrapText="1"/>
    </xf>
    <xf numFmtId="0" fontId="16" fillId="14" borderId="0" xfId="0" applyFont="1" applyFill="1" applyAlignment="1">
      <alignment wrapText="1"/>
    </xf>
    <xf numFmtId="0" fontId="16" fillId="14" borderId="0" xfId="0" applyFont="1" applyFill="1"/>
    <xf numFmtId="0" fontId="2" fillId="0" borderId="0" xfId="0" applyFont="1" applyFill="1" applyBorder="1" applyAlignment="1">
      <alignment horizontal="center" wrapText="1"/>
    </xf>
    <xf numFmtId="0" fontId="2" fillId="0" borderId="0" xfId="0" applyFont="1" applyFill="1" applyBorder="1" applyAlignment="1">
      <alignment wrapText="1"/>
    </xf>
    <xf numFmtId="0" fontId="13" fillId="12" borderId="0" xfId="15" applyAlignment="1">
      <alignment wrapText="1"/>
    </xf>
    <xf numFmtId="0" fontId="14" fillId="13" borderId="2" xfId="16"/>
    <xf numFmtId="0" fontId="17" fillId="15" borderId="0" xfId="7" applyNumberFormat="1" applyFont="1" applyFill="1" applyBorder="1" applyAlignment="1">
      <alignment wrapText="1"/>
    </xf>
    <xf numFmtId="0" fontId="15" fillId="14" borderId="0" xfId="0" applyFont="1" applyFill="1" applyAlignment="1">
      <alignment wrapText="1"/>
    </xf>
    <xf numFmtId="0" fontId="15" fillId="14" borderId="0" xfId="0" applyFont="1" applyFill="1"/>
    <xf numFmtId="0" fontId="15" fillId="14" borderId="0" xfId="0" applyFont="1" applyFill="1" applyAlignment="1">
      <alignment vertical="center"/>
    </xf>
    <xf numFmtId="0" fontId="17" fillId="14" borderId="0" xfId="9" applyFont="1" applyFill="1" applyBorder="1" applyAlignment="1">
      <alignment horizontal="left"/>
    </xf>
    <xf numFmtId="0" fontId="17" fillId="14" borderId="0" xfId="9" applyFont="1" applyFill="1" applyBorder="1"/>
    <xf numFmtId="0" fontId="17" fillId="14" borderId="0" xfId="0" applyFont="1" applyFill="1" applyBorder="1" applyAlignment="1">
      <alignment horizontal="left" wrapText="1"/>
    </xf>
    <xf numFmtId="2" fontId="17" fillId="14" borderId="0" xfId="0" applyNumberFormat="1" applyFont="1" applyFill="1" applyBorder="1" applyAlignment="1">
      <alignment horizontal="left" wrapText="1"/>
    </xf>
    <xf numFmtId="0" fontId="9" fillId="9" borderId="0" xfId="9" applyFont="1" applyBorder="1" applyAlignment="1">
      <alignment horizontal="left"/>
    </xf>
    <xf numFmtId="0" fontId="12" fillId="11" borderId="0" xfId="14"/>
    <xf numFmtId="0" fontId="17" fillId="14" borderId="0" xfId="0" applyFont="1" applyFill="1" applyBorder="1" applyAlignment="1">
      <alignment wrapText="1"/>
    </xf>
    <xf numFmtId="0" fontId="17" fillId="14" borderId="0" xfId="9" applyFont="1" applyFill="1" applyBorder="1" applyAlignment="1">
      <alignment horizontal="left" wrapText="1"/>
    </xf>
    <xf numFmtId="0" fontId="17" fillId="14" borderId="0" xfId="9" applyFont="1" applyFill="1" applyBorder="1" applyAlignment="1">
      <alignment wrapText="1"/>
    </xf>
    <xf numFmtId="0" fontId="13" fillId="12" borderId="0" xfId="15" applyBorder="1"/>
    <xf numFmtId="0" fontId="15" fillId="14" borderId="0" xfId="0" applyFont="1" applyFill="1" applyAlignment="1">
      <alignment vertical="center" wrapText="1"/>
    </xf>
    <xf numFmtId="0" fontId="7" fillId="0" borderId="0" xfId="0" applyFont="1" applyAlignment="1">
      <alignment horizontal="center" wrapText="1"/>
    </xf>
    <xf numFmtId="0" fontId="0" fillId="0" borderId="0" xfId="0"/>
    <xf numFmtId="0" fontId="0" fillId="0" borderId="0" xfId="0" applyAlignment="1">
      <alignment wrapText="1"/>
    </xf>
    <xf numFmtId="0" fontId="17" fillId="15" borderId="0" xfId="7" applyNumberFormat="1" applyFont="1" applyFill="1" applyBorder="1" applyAlignment="1">
      <alignment wrapText="1"/>
    </xf>
    <xf numFmtId="0" fontId="15" fillId="14" borderId="0" xfId="0" applyFont="1" applyFill="1" applyAlignment="1">
      <alignment wrapText="1"/>
    </xf>
    <xf numFmtId="0" fontId="0" fillId="0" borderId="0" xfId="0" applyAlignment="1"/>
    <xf numFmtId="0" fontId="18" fillId="0" borderId="0" xfId="0" applyFont="1"/>
    <xf numFmtId="0" fontId="17" fillId="14" borderId="0" xfId="0" applyFont="1" applyFill="1" applyBorder="1" applyAlignment="1">
      <alignment horizontal="left" wrapText="1"/>
    </xf>
    <xf numFmtId="2" fontId="17" fillId="14" borderId="0" xfId="0" applyNumberFormat="1" applyFont="1" applyFill="1" applyBorder="1" applyAlignment="1">
      <alignment horizontal="left" wrapText="1"/>
    </xf>
    <xf numFmtId="0" fontId="7" fillId="0" borderId="0" xfId="0" applyFont="1" applyAlignment="1">
      <alignment horizontal="center"/>
    </xf>
    <xf numFmtId="0" fontId="9" fillId="0" borderId="0" xfId="0" applyFont="1" applyFill="1" applyBorder="1" applyAlignment="1">
      <alignment horizontal="center"/>
    </xf>
    <xf numFmtId="17" fontId="2" fillId="0" borderId="0" xfId="0" applyNumberFormat="1" applyFont="1" applyFill="1" applyBorder="1" applyAlignment="1">
      <alignment horizontal="right"/>
    </xf>
    <xf numFmtId="2" fontId="2" fillId="0" borderId="0" xfId="0" applyNumberFormat="1" applyFont="1" applyFill="1" applyBorder="1" applyAlignment="1">
      <alignment horizontal="right"/>
    </xf>
    <xf numFmtId="0" fontId="2" fillId="8" borderId="0" xfId="8" applyFont="1" applyBorder="1"/>
    <xf numFmtId="0" fontId="0" fillId="8" borderId="0" xfId="8" applyFont="1"/>
    <xf numFmtId="2" fontId="4" fillId="0" borderId="0" xfId="0" applyNumberFormat="1" applyFont="1" applyFill="1" applyBorder="1" applyAlignment="1">
      <alignment horizontal="right"/>
    </xf>
    <xf numFmtId="0" fontId="0" fillId="9" borderId="0" xfId="9" applyFont="1"/>
    <xf numFmtId="0" fontId="2" fillId="9" borderId="0" xfId="9" applyFont="1" applyBorder="1"/>
    <xf numFmtId="0" fontId="4" fillId="9" borderId="0" xfId="9" applyFont="1" applyBorder="1"/>
    <xf numFmtId="165" fontId="4" fillId="4" borderId="0" xfId="2" applyNumberFormat="1" applyFont="1" applyBorder="1" applyAlignment="1">
      <alignment horizontal="right"/>
    </xf>
    <xf numFmtId="2" fontId="4" fillId="4" borderId="0" xfId="2" applyNumberFormat="1" applyFont="1" applyBorder="1" applyAlignment="1">
      <alignment horizontal="right"/>
    </xf>
    <xf numFmtId="43" fontId="4" fillId="4" borderId="0" xfId="2" applyNumberFormat="1" applyFont="1" applyBorder="1" applyAlignment="1">
      <alignment horizontal="right"/>
    </xf>
    <xf numFmtId="0" fontId="9" fillId="0" borderId="0" xfId="0" applyFont="1" applyFill="1" applyBorder="1" applyAlignment="1">
      <alignment horizontal="center"/>
    </xf>
    <xf numFmtId="0" fontId="0" fillId="7" borderId="0" xfId="7" applyNumberFormat="1" applyFont="1" applyAlignment="1"/>
    <xf numFmtId="166" fontId="4" fillId="4" borderId="0" xfId="2" applyNumberFormat="1" applyFont="1" applyBorder="1" applyAlignment="1">
      <alignment horizontal="right"/>
    </xf>
    <xf numFmtId="167" fontId="4" fillId="4" borderId="0" xfId="2" applyNumberFormat="1" applyFont="1" applyBorder="1" applyAlignment="1">
      <alignment horizontal="right"/>
    </xf>
    <xf numFmtId="0" fontId="0" fillId="0" borderId="0" xfId="10" applyFont="1" applyFill="1"/>
    <xf numFmtId="0" fontId="2" fillId="0" borderId="0" xfId="10" applyFont="1" applyFill="1" applyBorder="1" applyAlignment="1">
      <alignment horizontal="right"/>
    </xf>
    <xf numFmtId="0" fontId="17" fillId="14" borderId="0" xfId="0" applyFont="1" applyFill="1" applyBorder="1" applyAlignment="1">
      <alignment horizontal="right"/>
    </xf>
    <xf numFmtId="0" fontId="17" fillId="14" borderId="0" xfId="0" applyFont="1" applyFill="1" applyBorder="1" applyAlignment="1">
      <alignment horizontal="left"/>
    </xf>
    <xf numFmtId="0" fontId="13" fillId="12" borderId="0" xfId="15"/>
    <xf numFmtId="49" fontId="0" fillId="0" borderId="0" xfId="0" applyNumberFormat="1" applyAlignment="1">
      <alignment horizontal="right"/>
    </xf>
    <xf numFmtId="0" fontId="7" fillId="10" borderId="0" xfId="10" applyFont="1"/>
    <xf numFmtId="0" fontId="9" fillId="0" borderId="0" xfId="0" applyFont="1" applyFill="1" applyBorder="1" applyAlignment="1">
      <alignment horizontal="center"/>
    </xf>
    <xf numFmtId="0" fontId="4" fillId="0" borderId="0" xfId="0" applyFont="1" applyFill="1" applyBorder="1" applyAlignment="1">
      <alignment horizontal="left" vertical="center"/>
    </xf>
    <xf numFmtId="0" fontId="2" fillId="0" borderId="0" xfId="10" applyFont="1" applyFill="1" applyBorder="1" applyAlignment="1">
      <alignment horizontal="left" vertical="center"/>
    </xf>
  </cellXfs>
  <cellStyles count="17">
    <cellStyle name="Bad" xfId="15" builtinId="27"/>
    <cellStyle name="C55Output" xfId="2" xr:uid="{00000000-0005-0000-0000-000001000000}"/>
    <cellStyle name="Comma" xfId="1" builtinId="3" hidden="1"/>
    <cellStyle name="Comma" xfId="13" builtinId="3"/>
    <cellStyle name="Comment" xfId="7" xr:uid="{00000000-0005-0000-0000-000004000000}"/>
    <cellStyle name="External Calculation" xfId="5" xr:uid="{00000000-0005-0000-0000-000005000000}"/>
    <cellStyle name="Good" xfId="14" builtinId="26"/>
    <cellStyle name="Input" xfId="16" builtinId="20"/>
    <cellStyle name="Intermediate Calculations" xfId="8" xr:uid="{00000000-0005-0000-0000-000008000000}"/>
    <cellStyle name="Issue To Resolve" xfId="6" xr:uid="{00000000-0005-0000-0000-000009000000}"/>
    <cellStyle name="Normal" xfId="0" builtinId="0"/>
    <cellStyle name="Not Applicable" xfId="4" xr:uid="{00000000-0005-0000-0000-00000B000000}"/>
    <cellStyle name="Optional" xfId="3" xr:uid="{00000000-0005-0000-0000-00000C000000}"/>
    <cellStyle name="Percent" xfId="12" builtinId="5"/>
    <cellStyle name="Required Prompt" xfId="11" xr:uid="{00000000-0005-0000-0000-00000E000000}"/>
    <cellStyle name="Template Instructions" xfId="10" xr:uid="{00000000-0005-0000-0000-00000F000000}"/>
    <cellStyle name="Value Measure Calculations" xfId="9" xr:uid="{00000000-0005-0000-0000-000010000000}"/>
  </cellStyles>
  <dxfs count="0"/>
  <tableStyles count="0" defaultTableStyle="TableStyleMedium2" defaultPivotStyle="PivotStyleLight16"/>
  <colors>
    <mruColors>
      <color rgb="FFEB6E21"/>
      <color rgb="FFDA5F14"/>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ValueFrameworksCode/vflibrary-base/value-framework/tests/Validation_Loader_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ler"/>
      <sheetName val="Investments"/>
      <sheetName val="Investments-Map"/>
      <sheetName val="Alternatives"/>
      <sheetName val="Alternatives-Map"/>
      <sheetName val="Draft Forecasts…flated, yearly)"/>
      <sheetName val="Draft Forecas…ated, yearly)-Map"/>
      <sheetName val="Draft Forecast Submission"/>
      <sheetName val="Draft Forecast Submission-Map"/>
      <sheetName val="Portfolios"/>
      <sheetName val="Portfolios-Map"/>
      <sheetName val="Portfolio Investments"/>
      <sheetName val="Portfolio Investments-Map"/>
      <sheetName val="Value Model Selections"/>
      <sheetName val="Value Model Selections-Map"/>
      <sheetName val="QuestionnaireAnswers-B-Risk"/>
      <sheetName val="QuestionnaireAnswers-B-Other"/>
      <sheetName val="QuestionnaireAnswers-B-Map"/>
      <sheetName val="QuestionnaireAnswers-O-Risk"/>
      <sheetName val="QuestionnaireAnswers-O-Other"/>
      <sheetName val="QuestionnaireAnswers-O-Map"/>
      <sheetName val="Calculations-Risk"/>
      <sheetName val="BenefitRiskValidation"/>
      <sheetName val="ValidationInput"/>
      <sheetName val="AssetModelValidation"/>
      <sheetName val="Risk"/>
      <sheetName val="Consequences"/>
      <sheetName val="Probabilities"/>
      <sheetName val="CustomerConstants"/>
      <sheetName val="ConfigField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
          <cell r="A1" t="str">
            <v>IGNORE</v>
          </cell>
          <cell r="B1" t="str">
            <v>Value Model Name</v>
          </cell>
          <cell r="C1" t="str">
            <v>Questionnaire Code</v>
          </cell>
          <cell r="D1" t="str">
            <v>Investment Code</v>
          </cell>
          <cell r="E1" t="str">
            <v>Alternative Name</v>
          </cell>
          <cell r="F1" t="str">
            <v>Asset Unique ID</v>
          </cell>
          <cell r="G1" t="str">
            <v>Reference Fiscal Year</v>
          </cell>
          <cell r="H1" t="str">
            <v>Start Date</v>
          </cell>
          <cell r="I1" t="str">
            <v>End Date</v>
          </cell>
          <cell r="J1" t="str">
            <v>Delete Entities</v>
          </cell>
          <cell r="K1" t="str">
            <v>Rationale</v>
          </cell>
          <cell r="L1" t="str">
            <v>Account Type</v>
          </cell>
          <cell r="M1" t="str">
            <v>Additional Costs</v>
          </cell>
          <cell r="N1" t="str">
            <v>Additional Hours</v>
          </cell>
          <cell r="O1" t="str">
            <v>Agent Time Saved</v>
          </cell>
          <cell r="P1" t="str">
            <v>Are Initial Effort and Schedule Realistic</v>
          </cell>
          <cell r="Q1" t="str">
            <v>Benefit Probability</v>
          </cell>
          <cell r="R1" t="str">
            <v>Benefit Probability NTV</v>
          </cell>
          <cell r="S1" t="str">
            <v>Budget Impact or Productivity Gain</v>
          </cell>
          <cell r="T1" t="str">
            <v>CO2 Reduction</v>
          </cell>
          <cell r="U1" t="str">
            <v>Costs Saved</v>
          </cell>
          <cell r="V1" t="str">
            <v>Energy Savings</v>
          </cell>
          <cell r="W1" t="str">
            <v>Hours Saved</v>
          </cell>
          <cell r="X1" t="str">
            <v>How Well Defined will Project Scope be</v>
          </cell>
          <cell r="Y1" t="str">
            <v>Level of Wellness Improvement</v>
          </cell>
          <cell r="Z1" t="str">
            <v>Lining up Right Implementation Partners</v>
          </cell>
          <cell r="AA1" t="str">
            <v>Low Effort Resolutions</v>
          </cell>
          <cell r="AB1" t="str">
            <v>Methodology and Track Record</v>
          </cell>
          <cell r="AC1" t="str">
            <v>Number of Candidates Attracted</v>
          </cell>
          <cell r="AD1" t="str">
            <v>Number of Employees Affected</v>
          </cell>
          <cell r="AE1" t="str">
            <v>Number of Employees At Risk Of Leaving</v>
          </cell>
          <cell r="AF1" t="str">
            <v>Percentage of Customers Impacted</v>
          </cell>
          <cell r="AG1" t="str">
            <v>PM's Previous Experience</v>
          </cell>
          <cell r="AH1" t="str">
            <v>Proven Implementation Methodology</v>
          </cell>
          <cell r="AI1" t="str">
            <v>Renewable Capacity Added</v>
          </cell>
          <cell r="AJ1" t="str">
            <v>Self Service Resolutions</v>
          </cell>
          <cell r="AK1" t="str">
            <v>SF6 Reduction</v>
          </cell>
          <cell r="AL1" t="str">
            <v>Skills to Manage the Project</v>
          </cell>
          <cell r="AM1" t="str">
            <v>Team's Right Internal Skillset</v>
          </cell>
          <cell r="AN1" t="str">
            <v>Type of Contract</v>
          </cell>
          <cell r="AO1" t="str">
            <v>Vendor Industry Experience</v>
          </cell>
          <cell r="AP1" t="str">
            <v>Vendor Technical Experience</v>
          </cell>
          <cell r="AQ1" t="str">
            <v>Wellness Improvement Percentage Employees</v>
          </cell>
          <cell r="AR1" t="str">
            <v>Workplace Impact On Attractiveness</v>
          </cell>
          <cell r="AS1" t="str">
            <v>Workplace Impact On Productivity</v>
          </cell>
        </row>
        <row r="2">
          <cell r="B2" t="str">
            <v>Additional Costs</v>
          </cell>
          <cell r="C2" t="str">
            <v>Additional Costs-O</v>
          </cell>
          <cell r="D2" t="str">
            <v>TEST-BASE-AdditionalCosts</v>
          </cell>
          <cell r="E2" t="str">
            <v>Alt 1</v>
          </cell>
          <cell r="H2">
            <v>44197</v>
          </cell>
          <cell r="M2">
            <v>100000</v>
          </cell>
          <cell r="N2">
            <v>40</v>
          </cell>
        </row>
        <row r="3">
          <cell r="B3" t="str">
            <v>Additional Costs</v>
          </cell>
          <cell r="C3" t="str">
            <v>Additional Costs-O</v>
          </cell>
          <cell r="D3" t="str">
            <v>TEST-BASE-AdditionalCosts</v>
          </cell>
          <cell r="E3" t="str">
            <v>Alt 1</v>
          </cell>
          <cell r="K3" t="str">
            <v>Testing Additional Costs</v>
          </cell>
          <cell r="L3" t="str">
            <v>B) OMA</v>
          </cell>
        </row>
        <row r="4">
          <cell r="A4" t="b">
            <v>1</v>
          </cell>
          <cell r="B4" t="str">
            <v>Cost Avoidance</v>
          </cell>
          <cell r="C4" t="str">
            <v>Automated Cost Avoidance-O</v>
          </cell>
          <cell r="D4" t="str">
            <v>TEST-BASE-FIN-VMG</v>
          </cell>
          <cell r="E4" t="str">
            <v>Alt 1</v>
          </cell>
        </row>
        <row r="5">
          <cell r="B5" t="str">
            <v>Cost Savings</v>
          </cell>
          <cell r="C5" t="str">
            <v>Cost Savings-O</v>
          </cell>
          <cell r="D5" t="str">
            <v>TEST-BASE-CostSavings</v>
          </cell>
          <cell r="E5" t="str">
            <v>Alt 1</v>
          </cell>
          <cell r="H5">
            <v>44197</v>
          </cell>
          <cell r="Q5" t="str">
            <v>75</v>
          </cell>
          <cell r="U5" t="str">
            <v>5000</v>
          </cell>
          <cell r="W5" t="str">
            <v>30</v>
          </cell>
        </row>
        <row r="6">
          <cell r="B6" t="str">
            <v>Cost Savings</v>
          </cell>
          <cell r="C6" t="str">
            <v>Cost Savings-O</v>
          </cell>
          <cell r="D6" t="str">
            <v>TEST-BASE-CostSavings</v>
          </cell>
          <cell r="E6" t="str">
            <v>Alt 1</v>
          </cell>
          <cell r="K6" t="str">
            <v>Testing Cost Savings</v>
          </cell>
          <cell r="L6" t="str">
            <v>A) Capital</v>
          </cell>
        </row>
        <row r="7">
          <cell r="B7" t="str">
            <v>Project Execution Risk</v>
          </cell>
          <cell r="C7" t="str">
            <v>Project Execution Risk-O</v>
          </cell>
          <cell r="D7" t="str">
            <v>TEST-BASE-ProjectExecutionRisk</v>
          </cell>
          <cell r="E7" t="str">
            <v>Alt 1</v>
          </cell>
          <cell r="P7" t="str">
            <v>B) Ballpark estimates have been developed, no or limited review</v>
          </cell>
          <cell r="X7" t="str">
            <v>C) Outcomes known but path to achieve them is fuzzy</v>
          </cell>
          <cell r="Z7" t="str">
            <v>D) Available vendors and system integrators familiar with expected solution</v>
          </cell>
          <cell r="AB7" t="str">
            <v>test</v>
          </cell>
          <cell r="AG7" t="str">
            <v>test</v>
          </cell>
          <cell r="AH7" t="str">
            <v>C) Was successfully used on at least one project in the past</v>
          </cell>
          <cell r="AL7" t="str">
            <v>C) Internal/Contract PM, positive experience with projects of this type and scope</v>
          </cell>
          <cell r="AM7" t="str">
            <v>D) All required skills identified and available to the project</v>
          </cell>
          <cell r="AN7" t="str">
            <v>C) Moderate level of contract complexity or limited experience with type of contract</v>
          </cell>
          <cell r="AO7" t="str">
            <v>D) Familiar with some aspects</v>
          </cell>
          <cell r="AP7" t="str">
            <v>D) Familiar with some aspects</v>
          </cell>
        </row>
        <row r="8">
          <cell r="A8" t="b">
            <v>1</v>
          </cell>
          <cell r="B8" t="str">
            <v>Financial Risk</v>
          </cell>
          <cell r="C8" t="str">
            <v>Automated Risk Mitigation-Financial Risk-O</v>
          </cell>
          <cell r="D8" t="str">
            <v>TEST-BASE-FIN-VMG</v>
          </cell>
          <cell r="E8" t="str">
            <v>Alt 1</v>
          </cell>
        </row>
        <row r="9">
          <cell r="A9" t="b">
            <v>1</v>
          </cell>
          <cell r="B9" t="str">
            <v>Resource</v>
          </cell>
          <cell r="C9" t="str">
            <v>Resources-O</v>
          </cell>
          <cell r="D9" t="str">
            <v>TEST-BASE-FIN-VMG</v>
          </cell>
          <cell r="E9" t="str">
            <v>Alt 1</v>
          </cell>
        </row>
        <row r="10">
          <cell r="A10" t="b">
            <v>1</v>
          </cell>
          <cell r="B10" t="str">
            <v>Investment Cost</v>
          </cell>
          <cell r="C10" t="str">
            <v>Total Cost-O</v>
          </cell>
          <cell r="D10" t="str">
            <v>TEST-BASE-FIN-VMG</v>
          </cell>
          <cell r="E10" t="str">
            <v>Alt 1</v>
          </cell>
        </row>
        <row r="11">
          <cell r="B11" t="str">
            <v>Business Continuity Risk</v>
          </cell>
          <cell r="C11" t="str">
            <v>Automated Risk Mitigation-Business Continuity Risk-O</v>
          </cell>
          <cell r="D11" t="str">
            <v>TEST-BASE-BusinessContinuityRisk</v>
          </cell>
          <cell r="E11" t="str">
            <v>Alt 1</v>
          </cell>
        </row>
        <row r="12">
          <cell r="B12" t="str">
            <v>Productive Workplace Benefit</v>
          </cell>
          <cell r="C12" t="str">
            <v>Productive Workplace Benefit-O</v>
          </cell>
          <cell r="D12" t="str">
            <v>TEST-BASE-ProductiveWorkplaceBenefit</v>
          </cell>
          <cell r="E12" t="str">
            <v>Alt 1</v>
          </cell>
          <cell r="H12">
            <v>44927</v>
          </cell>
          <cell r="Q12" t="str">
            <v>85</v>
          </cell>
          <cell r="AC12" t="str">
            <v>20</v>
          </cell>
          <cell r="AD12" t="str">
            <v>25</v>
          </cell>
          <cell r="AE12" t="str">
            <v>10</v>
          </cell>
          <cell r="AR12" t="str">
            <v>A) Very Significant (10% impact on attractiveness)</v>
          </cell>
          <cell r="AS12" t="str">
            <v>C) Moderate (1% impact on productivity)</v>
          </cell>
        </row>
        <row r="13">
          <cell r="B13" t="str">
            <v>Productive Workplace Benefit</v>
          </cell>
          <cell r="C13" t="str">
            <v>Productive Workplace Benefit-O</v>
          </cell>
          <cell r="D13" t="str">
            <v>TEST-BASE-ProductiveWorkplaceBenefit</v>
          </cell>
          <cell r="E13" t="str">
            <v>Alt 1</v>
          </cell>
          <cell r="K13" t="str">
            <v>Testing Productive Workplace Benefit</v>
          </cell>
        </row>
        <row r="14">
          <cell r="B14" t="str">
            <v>Environmental Benefit</v>
          </cell>
          <cell r="C14" t="str">
            <v>Environmental Benefit-O</v>
          </cell>
          <cell r="D14" t="str">
            <v>TEST-BASE-EnvironmentalBenefit</v>
          </cell>
          <cell r="E14" t="str">
            <v>Alt 1</v>
          </cell>
          <cell r="K14" t="str">
            <v>Testing Environmental Benefit</v>
          </cell>
          <cell r="R14" t="str">
            <v>75</v>
          </cell>
          <cell r="T14" t="str">
            <v>100</v>
          </cell>
          <cell r="V14" t="str">
            <v>200</v>
          </cell>
          <cell r="AK14" t="str">
            <v>500</v>
          </cell>
        </row>
        <row r="15">
          <cell r="A15" t="b">
            <v>1</v>
          </cell>
          <cell r="B15" t="str">
            <v>Compliance Risk</v>
          </cell>
          <cell r="C15" t="str">
            <v>Automated Risk Mitigation-Compliance Risk-O</v>
          </cell>
          <cell r="D15" t="str">
            <v>TEST-BASE-STC-VMG</v>
          </cell>
          <cell r="E15" t="str">
            <v>Alt 1</v>
          </cell>
        </row>
        <row r="16">
          <cell r="B16" t="str">
            <v>Brand Value Benefit</v>
          </cell>
          <cell r="C16" t="str">
            <v>Public Perception Benefit-O</v>
          </cell>
          <cell r="D16" t="str">
            <v>TEST-BASE-BrandValueBenefit</v>
          </cell>
          <cell r="E16" t="str">
            <v>Alt 1</v>
          </cell>
          <cell r="H16">
            <v>44197</v>
          </cell>
          <cell r="Q16">
            <v>100</v>
          </cell>
          <cell r="AF16">
            <v>20</v>
          </cell>
        </row>
        <row r="17">
          <cell r="B17" t="str">
            <v>Brand Value Benefit</v>
          </cell>
          <cell r="C17" t="str">
            <v>Public Perception Benefit-O</v>
          </cell>
          <cell r="D17" t="str">
            <v>TEST-BASE-BrandValueBenefit</v>
          </cell>
          <cell r="E17" t="str">
            <v>Alt 1</v>
          </cell>
          <cell r="K17" t="str">
            <v>Testing Brand Value Benefit</v>
          </cell>
        </row>
        <row r="18">
          <cell r="B18" t="str">
            <v>Customer Service Benefit</v>
          </cell>
          <cell r="C18" t="str">
            <v>Customer Service Benefit-O</v>
          </cell>
          <cell r="D18" t="str">
            <v>TEST-BASE-CustomerServiceBenefit</v>
          </cell>
          <cell r="E18" t="str">
            <v>Alt 1</v>
          </cell>
          <cell r="H18">
            <v>44197</v>
          </cell>
          <cell r="O18">
            <v>0</v>
          </cell>
          <cell r="Q18">
            <v>80</v>
          </cell>
          <cell r="AA18">
            <v>5</v>
          </cell>
          <cell r="AJ18">
            <v>2</v>
          </cell>
        </row>
        <row r="19">
          <cell r="B19" t="str">
            <v>Customer Service Benefit</v>
          </cell>
          <cell r="C19" t="str">
            <v>Customer Service Benefit-O</v>
          </cell>
          <cell r="D19" t="str">
            <v>TEST-BASE-CustomerServiceBenefit</v>
          </cell>
          <cell r="E19" t="str">
            <v>Alt 1</v>
          </cell>
          <cell r="K19" t="str">
            <v>Testing Customer Service Benefit</v>
          </cell>
        </row>
        <row r="20">
          <cell r="B20" t="str">
            <v>Employee Wellness Benefit</v>
          </cell>
          <cell r="C20" t="str">
            <v>Employee Wellness Benefit-O</v>
          </cell>
          <cell r="D20" t="str">
            <v>TEST-BASE-EmployeeWellnessBenefit</v>
          </cell>
          <cell r="E20" t="str">
            <v>Alt 1</v>
          </cell>
          <cell r="H20">
            <v>44197</v>
          </cell>
          <cell r="Q20">
            <v>60</v>
          </cell>
          <cell r="Y20" t="str">
            <v>B) Mitigate injuries or improve employee comfort</v>
          </cell>
          <cell r="AQ20">
            <v>20</v>
          </cell>
        </row>
        <row r="21">
          <cell r="B21" t="str">
            <v>Employee Wellness Benefit</v>
          </cell>
          <cell r="C21" t="str">
            <v>Employee Wellness Benefit-O</v>
          </cell>
          <cell r="D21" t="str">
            <v>TEST-BASE-EmployeeWellnessBenefit</v>
          </cell>
          <cell r="E21" t="str">
            <v>Alt 1</v>
          </cell>
          <cell r="K21" t="str">
            <v>Testing Employee Wellness Benefit</v>
          </cell>
        </row>
        <row r="22">
          <cell r="A22" t="b">
            <v>1</v>
          </cell>
          <cell r="B22" t="str">
            <v>Cyber Security Risk</v>
          </cell>
          <cell r="C22" t="str">
            <v>Automated Risk Mitigation-Cyber Security Risk-O</v>
          </cell>
          <cell r="D22" t="str">
            <v>TEST-BASE-SS-VMG</v>
          </cell>
          <cell r="E22" t="str">
            <v>Alt 1</v>
          </cell>
        </row>
        <row r="23">
          <cell r="A23" t="b">
            <v>1</v>
          </cell>
          <cell r="B23" t="str">
            <v>Employee &amp; Contractor Safety Risk</v>
          </cell>
          <cell r="C23" t="str">
            <v>Automated Risk Mitigation-Employee &amp; Contractor Safety Risk-O</v>
          </cell>
          <cell r="D23" t="str">
            <v>TEST-BASE-SS-VMG</v>
          </cell>
          <cell r="E23" t="str">
            <v>Alt 1</v>
          </cell>
        </row>
        <row r="24">
          <cell r="A24" t="b">
            <v>1</v>
          </cell>
          <cell r="B24" t="str">
            <v>Government &amp; Community Relations Risk</v>
          </cell>
          <cell r="C24" t="str">
            <v>Automated Risk Mitigation-Government &amp; Community Relations Risk-O</v>
          </cell>
          <cell r="D24" t="str">
            <v>TEST-BASE-SS-VMG</v>
          </cell>
          <cell r="E24" t="str">
            <v>Alt 1</v>
          </cell>
        </row>
        <row r="25">
          <cell r="A25" t="b">
            <v>1</v>
          </cell>
          <cell r="B25" t="str">
            <v>Public Property Risk</v>
          </cell>
          <cell r="C25" t="str">
            <v>Automated Risk Mitigation-Public Property Risk-O</v>
          </cell>
          <cell r="D25" t="str">
            <v>TEST-BASE-SS-VMG</v>
          </cell>
          <cell r="E25" t="str">
            <v>Alt 1</v>
          </cell>
        </row>
        <row r="26">
          <cell r="A26" t="b">
            <v>1</v>
          </cell>
          <cell r="B26" t="str">
            <v>Public Safety Risk</v>
          </cell>
          <cell r="C26" t="str">
            <v>Automated Risk Mitigation-Public Safety Risk-O</v>
          </cell>
          <cell r="D26" t="str">
            <v>TEST-BASE-SS-VMG</v>
          </cell>
          <cell r="E26" t="str">
            <v>Alt 1</v>
          </cell>
        </row>
        <row r="27">
          <cell r="B27" t="str">
            <v>Renewable Capacity</v>
          </cell>
          <cell r="C27" t="str">
            <v>Renewable Capacity-O</v>
          </cell>
          <cell r="D27" t="str">
            <v>TEST-BASE-RenewableCapacity</v>
          </cell>
          <cell r="E27" t="str">
            <v>Alt 1</v>
          </cell>
          <cell r="H27">
            <v>43466</v>
          </cell>
          <cell r="Q27" t="str">
            <v>100</v>
          </cell>
          <cell r="AI27" t="str">
            <v>300</v>
          </cell>
        </row>
        <row r="28">
          <cell r="B28" t="str">
            <v>Renewable Capacity</v>
          </cell>
          <cell r="C28" t="str">
            <v>Renewable Capacity-O</v>
          </cell>
          <cell r="D28" t="str">
            <v>TEST-BASE-RenewableCapacity</v>
          </cell>
          <cell r="E28" t="str">
            <v>Alt 1</v>
          </cell>
          <cell r="K28" t="str">
            <v>Testing Renewable Capacity</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B4"/>
  <sheetViews>
    <sheetView workbookViewId="0">
      <selection activeCell="A5" sqref="A5"/>
    </sheetView>
  </sheetViews>
  <sheetFormatPr defaultRowHeight="14.4" x14ac:dyDescent="0.3"/>
  <cols>
    <col min="1" max="2" width="26.5546875" customWidth="1"/>
  </cols>
  <sheetData>
    <row r="1" spans="1:2" x14ac:dyDescent="0.3">
      <c r="A1" s="85" t="s">
        <v>104</v>
      </c>
      <c r="B1" s="85" t="s">
        <v>105</v>
      </c>
    </row>
    <row r="2" spans="1:2" s="77" customFormat="1" x14ac:dyDescent="0.3">
      <c r="A2" s="77" t="s">
        <v>162</v>
      </c>
      <c r="B2" s="77" t="s">
        <v>163</v>
      </c>
    </row>
    <row r="3" spans="1:2" x14ac:dyDescent="0.3">
      <c r="A3" s="77" t="s">
        <v>132</v>
      </c>
      <c r="B3" s="77" t="s">
        <v>131</v>
      </c>
    </row>
    <row r="4" spans="1:2" x14ac:dyDescent="0.3">
      <c r="A4" t="s">
        <v>165</v>
      </c>
      <c r="B4" s="77"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C19"/>
  <sheetViews>
    <sheetView workbookViewId="0">
      <selection activeCell="F18" sqref="F18"/>
    </sheetView>
  </sheetViews>
  <sheetFormatPr defaultRowHeight="14.4" x14ac:dyDescent="0.3"/>
  <cols>
    <col min="1" max="1" width="28.5546875" style="78" bestFit="1" customWidth="1"/>
  </cols>
  <sheetData>
    <row r="1" spans="1:3" s="81" customFormat="1" x14ac:dyDescent="0.3">
      <c r="A1" s="76" t="s">
        <v>97</v>
      </c>
      <c r="B1" s="85" t="s">
        <v>98</v>
      </c>
      <c r="C1" s="85" t="s">
        <v>99</v>
      </c>
    </row>
    <row r="2" spans="1:3" x14ac:dyDescent="0.3">
      <c r="A2" s="80" t="s">
        <v>74</v>
      </c>
      <c r="B2" s="82">
        <v>1</v>
      </c>
      <c r="C2" s="77">
        <v>1</v>
      </c>
    </row>
    <row r="3" spans="1:3" x14ac:dyDescent="0.3">
      <c r="A3" s="80" t="s">
        <v>75</v>
      </c>
      <c r="B3" s="77">
        <v>4</v>
      </c>
      <c r="C3" s="81">
        <v>3</v>
      </c>
    </row>
    <row r="4" spans="1:3" x14ac:dyDescent="0.3">
      <c r="A4" s="80" t="s">
        <v>76</v>
      </c>
      <c r="B4" s="77">
        <v>4</v>
      </c>
      <c r="C4" s="77">
        <v>4</v>
      </c>
    </row>
    <row r="5" spans="1:3" x14ac:dyDescent="0.3">
      <c r="A5" s="79" t="s">
        <v>78</v>
      </c>
      <c r="B5" s="77">
        <v>10</v>
      </c>
      <c r="C5" s="77">
        <v>7</v>
      </c>
    </row>
    <row r="6" spans="1:3" x14ac:dyDescent="0.3">
      <c r="A6" s="80" t="s">
        <v>79</v>
      </c>
      <c r="B6" s="77">
        <v>10</v>
      </c>
      <c r="C6" s="77">
        <v>8</v>
      </c>
    </row>
    <row r="7" spans="1:3" x14ac:dyDescent="0.3">
      <c r="A7" s="80" t="s">
        <v>80</v>
      </c>
      <c r="B7" s="77">
        <v>10</v>
      </c>
      <c r="C7" s="77">
        <v>9</v>
      </c>
    </row>
    <row r="8" spans="1:3" x14ac:dyDescent="0.3">
      <c r="A8" s="71" t="s">
        <v>81</v>
      </c>
      <c r="B8" s="77">
        <v>44</v>
      </c>
      <c r="C8" s="77">
        <v>1</v>
      </c>
    </row>
    <row r="9" spans="1:3" x14ac:dyDescent="0.3">
      <c r="A9" s="83" t="s">
        <v>87</v>
      </c>
      <c r="B9" s="77">
        <v>44</v>
      </c>
      <c r="C9" s="77">
        <v>3</v>
      </c>
    </row>
    <row r="10" spans="1:3" x14ac:dyDescent="0.3">
      <c r="A10" s="84" t="s">
        <v>88</v>
      </c>
      <c r="B10" s="77">
        <v>44</v>
      </c>
      <c r="C10" s="77">
        <v>4</v>
      </c>
    </row>
    <row r="11" spans="1:3" x14ac:dyDescent="0.3">
      <c r="A11" s="71" t="s">
        <v>89</v>
      </c>
      <c r="B11" s="77">
        <v>44</v>
      </c>
      <c r="C11" s="77">
        <v>5</v>
      </c>
    </row>
    <row r="12" spans="1:3" x14ac:dyDescent="0.3">
      <c r="A12" s="80" t="s">
        <v>90</v>
      </c>
      <c r="B12" s="77">
        <v>44</v>
      </c>
      <c r="C12" s="77">
        <v>6</v>
      </c>
    </row>
    <row r="13" spans="1:3" x14ac:dyDescent="0.3">
      <c r="A13" s="80" t="s">
        <v>91</v>
      </c>
      <c r="B13" s="77">
        <v>44</v>
      </c>
      <c r="C13" s="77">
        <v>7</v>
      </c>
    </row>
    <row r="14" spans="1:3" x14ac:dyDescent="0.3">
      <c r="A14" s="75" t="s">
        <v>82</v>
      </c>
      <c r="B14" s="77">
        <v>45</v>
      </c>
      <c r="C14" s="77">
        <v>1</v>
      </c>
    </row>
    <row r="15" spans="1:3" x14ac:dyDescent="0.3">
      <c r="A15" s="75" t="s">
        <v>83</v>
      </c>
      <c r="B15" s="77">
        <v>46</v>
      </c>
      <c r="C15" s="77">
        <v>1</v>
      </c>
    </row>
    <row r="16" spans="1:3" x14ac:dyDescent="0.3">
      <c r="A16" s="72" t="s">
        <v>84</v>
      </c>
      <c r="B16" s="77">
        <v>47</v>
      </c>
      <c r="C16" s="77">
        <v>1</v>
      </c>
    </row>
    <row r="17" spans="1:3" x14ac:dyDescent="0.3">
      <c r="A17" s="72" t="s">
        <v>85</v>
      </c>
      <c r="B17" s="77">
        <v>48</v>
      </c>
      <c r="C17" s="77">
        <v>1</v>
      </c>
    </row>
    <row r="18" spans="1:3" x14ac:dyDescent="0.3">
      <c r="A18" s="73" t="s">
        <v>86</v>
      </c>
      <c r="B18" s="77">
        <v>49</v>
      </c>
      <c r="C18" s="77">
        <v>1</v>
      </c>
    </row>
    <row r="19" spans="1:3" x14ac:dyDescent="0.3">
      <c r="A19" s="75" t="s">
        <v>96</v>
      </c>
      <c r="B19" s="77">
        <v>58</v>
      </c>
      <c r="C19" s="77">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P65"/>
  <sheetViews>
    <sheetView topLeftCell="A13" zoomScale="80" zoomScaleNormal="80" workbookViewId="0">
      <selection activeCell="D7" sqref="D7"/>
    </sheetView>
  </sheetViews>
  <sheetFormatPr defaultRowHeight="14.4" x14ac:dyDescent="0.3"/>
  <cols>
    <col min="1" max="1" width="30" customWidth="1"/>
    <col min="2" max="2" width="72.88671875" bestFit="1" customWidth="1"/>
    <col min="3" max="3" width="72.5546875" customWidth="1"/>
    <col min="4" max="4" width="22.88671875" customWidth="1"/>
    <col min="5" max="5" width="21.33203125" customWidth="1"/>
    <col min="6" max="6" width="19.44140625" customWidth="1"/>
    <col min="7" max="7" width="38.5546875" customWidth="1"/>
    <col min="8" max="8" width="39.5546875" customWidth="1"/>
    <col min="9" max="9" width="25" customWidth="1"/>
    <col min="10" max="10" width="17.5546875" customWidth="1"/>
    <col min="11" max="11" width="23.6640625" customWidth="1"/>
    <col min="12" max="12" width="21.88671875" customWidth="1"/>
    <col min="13" max="13" width="19" customWidth="1"/>
    <col min="14" max="14" width="23.5546875" customWidth="1"/>
    <col min="15" max="15" width="17.5546875" customWidth="1"/>
    <col min="16" max="16" width="19.5546875" customWidth="1"/>
    <col min="17" max="17" width="18.44140625" customWidth="1"/>
  </cols>
  <sheetData>
    <row r="1" spans="1:15" x14ac:dyDescent="0.3">
      <c r="A1" s="53" t="s">
        <v>74</v>
      </c>
      <c r="B1" s="74" t="s">
        <v>62</v>
      </c>
      <c r="C1" s="1"/>
      <c r="E1" s="3"/>
      <c r="F1" s="1"/>
      <c r="G1" s="4"/>
      <c r="H1" s="1"/>
    </row>
    <row r="2" spans="1:15" x14ac:dyDescent="0.3">
      <c r="A2" s="2"/>
      <c r="C2" s="1"/>
      <c r="D2" s="3"/>
      <c r="E2" s="3"/>
      <c r="F2" s="1"/>
      <c r="G2" s="4"/>
      <c r="H2" s="1"/>
    </row>
    <row r="3" spans="1:15" x14ac:dyDescent="0.3">
      <c r="A3" s="2" t="s">
        <v>0</v>
      </c>
      <c r="B3" s="1"/>
      <c r="C3" s="1"/>
      <c r="D3" s="109" t="s">
        <v>38</v>
      </c>
      <c r="E3" s="109"/>
      <c r="F3" s="4"/>
      <c r="G3" s="4"/>
    </row>
    <row r="4" spans="1:15" s="42" customFormat="1" x14ac:dyDescent="0.3">
      <c r="A4" s="2"/>
      <c r="B4" s="54"/>
      <c r="C4" s="55" t="s">
        <v>75</v>
      </c>
      <c r="D4" s="56" t="s">
        <v>76</v>
      </c>
      <c r="F4" s="4"/>
      <c r="G4" s="57"/>
      <c r="H4" s="54"/>
    </row>
    <row r="5" spans="1:15" s="42" customFormat="1" x14ac:dyDescent="0.3">
      <c r="A5" s="2"/>
      <c r="B5" s="58"/>
      <c r="C5" s="59" t="s">
        <v>102</v>
      </c>
      <c r="D5" s="60">
        <v>2018</v>
      </c>
      <c r="E5" s="48"/>
      <c r="F5" s="4"/>
      <c r="G5" s="57"/>
      <c r="H5" s="54"/>
    </row>
    <row r="6" spans="1:15" s="42" customFormat="1" x14ac:dyDescent="0.3">
      <c r="A6" s="2"/>
      <c r="B6" s="58"/>
      <c r="C6" s="59" t="s">
        <v>103</v>
      </c>
      <c r="D6" s="60">
        <v>60</v>
      </c>
      <c r="E6" s="48"/>
      <c r="F6" s="4"/>
      <c r="G6" s="57"/>
      <c r="H6" s="54"/>
    </row>
    <row r="7" spans="1:15" s="42" customFormat="1" x14ac:dyDescent="0.3">
      <c r="A7" s="2"/>
      <c r="B7" s="58"/>
      <c r="C7" s="59" t="s">
        <v>77</v>
      </c>
      <c r="D7" s="60">
        <v>12</v>
      </c>
      <c r="E7" s="48"/>
      <c r="F7" s="4"/>
      <c r="G7" s="57"/>
      <c r="H7" s="54"/>
    </row>
    <row r="8" spans="1:15" s="42" customFormat="1" x14ac:dyDescent="0.3">
      <c r="C8" s="54"/>
    </row>
    <row r="9" spans="1:15" s="42" customFormat="1" x14ac:dyDescent="0.3">
      <c r="A9" s="2"/>
      <c r="B9" s="58"/>
      <c r="C9" s="58"/>
      <c r="D9" s="109" t="s">
        <v>38</v>
      </c>
      <c r="E9" s="109"/>
      <c r="F9" s="4"/>
      <c r="G9" s="57"/>
      <c r="H9" s="54"/>
    </row>
    <row r="10" spans="1:15" x14ac:dyDescent="0.3">
      <c r="A10" s="2"/>
      <c r="B10" s="2" t="s">
        <v>37</v>
      </c>
      <c r="C10" s="42" t="s">
        <v>33</v>
      </c>
      <c r="D10" s="49" t="s">
        <v>50</v>
      </c>
      <c r="E10" s="14" t="s">
        <v>3</v>
      </c>
      <c r="F10" s="13" t="s">
        <v>2</v>
      </c>
      <c r="G10" s="61" t="s">
        <v>78</v>
      </c>
      <c r="H10" s="62" t="s">
        <v>79</v>
      </c>
      <c r="I10" s="63" t="s">
        <v>80</v>
      </c>
      <c r="J10" s="2" t="s">
        <v>15</v>
      </c>
      <c r="K10" s="14" t="s">
        <v>26</v>
      </c>
      <c r="L10" s="29" t="s">
        <v>8</v>
      </c>
      <c r="M10" s="14" t="s">
        <v>21</v>
      </c>
      <c r="N10" s="14" t="s">
        <v>20</v>
      </c>
      <c r="O10" s="14" t="s">
        <v>22</v>
      </c>
    </row>
    <row r="11" spans="1:15" x14ac:dyDescent="0.3">
      <c r="A11" s="2"/>
      <c r="C11" s="19" t="s">
        <v>7</v>
      </c>
      <c r="D11" s="14"/>
      <c r="E11" s="14"/>
      <c r="F11" s="18" t="s">
        <v>6</v>
      </c>
      <c r="G11" s="16" t="s">
        <v>5</v>
      </c>
      <c r="H11" s="16" t="s">
        <v>41</v>
      </c>
      <c r="I11" s="16" t="s">
        <v>41</v>
      </c>
      <c r="J11" s="16" t="s">
        <v>16</v>
      </c>
      <c r="K11" s="16" t="s">
        <v>9</v>
      </c>
      <c r="L11" s="16" t="s">
        <v>18</v>
      </c>
      <c r="M11" s="16" t="s">
        <v>24</v>
      </c>
      <c r="N11" s="16" t="s">
        <v>23</v>
      </c>
      <c r="O11" s="16" t="s">
        <v>25</v>
      </c>
    </row>
    <row r="12" spans="1:15" x14ac:dyDescent="0.3">
      <c r="A12" s="2" t="s">
        <v>51</v>
      </c>
      <c r="B12" s="1"/>
      <c r="C12" s="1"/>
      <c r="D12" s="42"/>
      <c r="E12" s="42"/>
      <c r="F12" s="3"/>
      <c r="G12" s="1"/>
      <c r="H12" s="1"/>
      <c r="I12" s="1"/>
      <c r="J12" s="2"/>
      <c r="K12" s="1"/>
    </row>
    <row r="13" spans="1:15" x14ac:dyDescent="0.3">
      <c r="A13" s="2"/>
      <c r="B13" s="1" t="s">
        <v>35</v>
      </c>
      <c r="C13" s="1"/>
      <c r="D13" s="1"/>
      <c r="E13" s="1"/>
      <c r="F13" s="3"/>
      <c r="G13" s="1"/>
      <c r="H13" s="1"/>
      <c r="I13" s="1"/>
      <c r="J13" s="2"/>
      <c r="K13" s="1"/>
    </row>
    <row r="14" spans="1:15" s="34" customFormat="1" x14ac:dyDescent="0.3">
      <c r="A14" s="2"/>
      <c r="B14" s="31"/>
      <c r="C14" s="31"/>
      <c r="D14" s="31"/>
      <c r="E14" s="31"/>
      <c r="F14" s="37"/>
      <c r="G14" s="31"/>
      <c r="H14" s="31"/>
      <c r="I14" s="31"/>
      <c r="J14" s="2"/>
      <c r="K14" s="31"/>
    </row>
    <row r="15" spans="1:15" s="30" customFormat="1" x14ac:dyDescent="0.3">
      <c r="A15" s="31"/>
      <c r="B15" s="3">
        <v>1</v>
      </c>
      <c r="C15" s="33" t="s">
        <v>56</v>
      </c>
      <c r="D15" s="37"/>
      <c r="E15" s="42">
        <v>100</v>
      </c>
      <c r="F15" s="10" t="s">
        <v>60</v>
      </c>
      <c r="G15" s="42" t="s">
        <v>52</v>
      </c>
      <c r="H15" s="37"/>
      <c r="I15" s="37"/>
      <c r="J15" s="31"/>
      <c r="K15" s="40"/>
      <c r="L15" s="41"/>
      <c r="M15" s="39"/>
      <c r="N15" s="39"/>
      <c r="O15" s="39"/>
    </row>
    <row r="16" spans="1:15" s="34" customFormat="1" x14ac:dyDescent="0.3">
      <c r="A16" s="31"/>
      <c r="B16" s="37"/>
      <c r="C16" s="35"/>
      <c r="D16" s="38"/>
      <c r="E16" s="38"/>
      <c r="F16" s="36"/>
      <c r="G16" s="38"/>
      <c r="H16" s="37"/>
      <c r="I16" s="37"/>
      <c r="J16" s="31"/>
      <c r="K16" s="40"/>
      <c r="L16" s="41"/>
      <c r="M16" s="39"/>
      <c r="N16" s="39"/>
      <c r="O16" s="39"/>
    </row>
    <row r="17" spans="1:16" s="34" customFormat="1" x14ac:dyDescent="0.3">
      <c r="A17" s="31"/>
      <c r="B17" s="37">
        <v>2</v>
      </c>
      <c r="C17" s="35" t="s">
        <v>57</v>
      </c>
      <c r="D17" s="38"/>
      <c r="E17" s="42">
        <v>500</v>
      </c>
      <c r="F17" s="36" t="s">
        <v>59</v>
      </c>
      <c r="G17" s="42" t="s">
        <v>53</v>
      </c>
      <c r="H17" s="37"/>
      <c r="I17" s="37"/>
      <c r="J17" s="31"/>
      <c r="K17" s="40"/>
      <c r="L17" s="41"/>
      <c r="M17" s="39"/>
      <c r="N17" s="39"/>
      <c r="O17" s="39"/>
    </row>
    <row r="18" spans="1:16" s="42" customFormat="1" x14ac:dyDescent="0.3">
      <c r="A18" s="31"/>
      <c r="B18" s="37"/>
      <c r="C18" s="35"/>
      <c r="D18" s="38"/>
      <c r="E18" s="38"/>
      <c r="F18" s="36"/>
      <c r="G18" s="38"/>
      <c r="H18" s="37"/>
      <c r="I18" s="37"/>
      <c r="J18" s="31"/>
      <c r="K18" s="40"/>
      <c r="L18" s="41"/>
      <c r="M18" s="39"/>
      <c r="N18" s="39"/>
      <c r="O18" s="39"/>
    </row>
    <row r="19" spans="1:16" s="42" customFormat="1" x14ac:dyDescent="0.3">
      <c r="A19" s="31"/>
      <c r="B19" s="37">
        <v>3</v>
      </c>
      <c r="C19" s="35" t="s">
        <v>58</v>
      </c>
      <c r="D19" s="38"/>
      <c r="E19" s="42">
        <v>200</v>
      </c>
      <c r="F19" s="36" t="s">
        <v>61</v>
      </c>
      <c r="G19" s="42" t="s">
        <v>54</v>
      </c>
      <c r="H19" s="37"/>
      <c r="I19" s="37"/>
      <c r="J19" s="31"/>
      <c r="K19" s="40"/>
      <c r="L19" s="41"/>
      <c r="M19" s="39"/>
      <c r="N19" s="39"/>
      <c r="O19" s="39"/>
    </row>
    <row r="20" spans="1:16" s="42" customFormat="1" x14ac:dyDescent="0.3">
      <c r="A20" s="31"/>
      <c r="B20" s="37"/>
      <c r="C20" s="35"/>
      <c r="D20" s="38"/>
      <c r="E20" s="38"/>
      <c r="F20" s="36"/>
      <c r="G20" s="38"/>
      <c r="H20" s="37"/>
      <c r="I20" s="37"/>
      <c r="J20" s="31"/>
      <c r="K20" s="40"/>
      <c r="L20" s="41"/>
      <c r="M20" s="39"/>
      <c r="N20" s="39"/>
      <c r="O20" s="39"/>
    </row>
    <row r="21" spans="1:16" s="42" customFormat="1" x14ac:dyDescent="0.3">
      <c r="A21" s="31"/>
      <c r="B21" s="37">
        <v>4</v>
      </c>
      <c r="C21" s="35" t="s">
        <v>46</v>
      </c>
      <c r="D21" s="38"/>
      <c r="E21" s="11">
        <v>75</v>
      </c>
      <c r="F21" s="36" t="s">
        <v>48</v>
      </c>
      <c r="G21" s="42" t="s">
        <v>55</v>
      </c>
      <c r="H21" s="37"/>
      <c r="I21" s="37"/>
      <c r="J21" s="31"/>
      <c r="K21" s="40"/>
      <c r="L21" s="41"/>
      <c r="M21" s="39"/>
      <c r="N21" s="39"/>
      <c r="O21" s="39"/>
    </row>
    <row r="22" spans="1:16" s="34" customFormat="1" x14ac:dyDescent="0.3">
      <c r="A22" s="31"/>
      <c r="B22" s="37"/>
      <c r="C22" s="33"/>
      <c r="D22" s="37"/>
      <c r="E22" s="37"/>
      <c r="F22" s="5"/>
      <c r="G22" s="31"/>
      <c r="H22" s="37"/>
      <c r="I22" s="37"/>
      <c r="J22" s="31"/>
      <c r="K22" s="39"/>
      <c r="L22" s="41"/>
      <c r="M22" s="39"/>
      <c r="N22" s="39"/>
      <c r="O22" s="39"/>
    </row>
    <row r="23" spans="1:16" s="30" customFormat="1" x14ac:dyDescent="0.3">
      <c r="A23" s="31"/>
      <c r="B23" s="3">
        <v>5</v>
      </c>
      <c r="C23" s="33" t="s">
        <v>44</v>
      </c>
      <c r="D23" s="3" t="s">
        <v>43</v>
      </c>
      <c r="E23" s="3"/>
      <c r="F23" s="5"/>
      <c r="G23" s="5" t="s">
        <v>45</v>
      </c>
      <c r="H23" s="3"/>
      <c r="I23" s="3"/>
      <c r="J23" s="31"/>
      <c r="K23" s="39"/>
      <c r="L23" s="39"/>
      <c r="M23" s="39"/>
      <c r="N23" s="39"/>
      <c r="O23" s="39"/>
    </row>
    <row r="24" spans="1:16" s="42" customFormat="1" x14ac:dyDescent="0.3">
      <c r="A24" s="31"/>
      <c r="B24" s="37"/>
      <c r="C24" s="33"/>
      <c r="D24" s="37"/>
      <c r="E24" s="37"/>
      <c r="F24" s="5"/>
      <c r="G24" s="31"/>
      <c r="H24" s="37"/>
      <c r="I24" s="37"/>
      <c r="J24" s="31"/>
      <c r="K24" s="44"/>
      <c r="L24" s="44"/>
      <c r="M24" s="44"/>
      <c r="N24" s="44"/>
      <c r="O24" s="44"/>
    </row>
    <row r="25" spans="1:16" x14ac:dyDescent="0.3">
      <c r="A25" s="1"/>
      <c r="B25" s="50" t="s">
        <v>36</v>
      </c>
      <c r="C25" s="1"/>
      <c r="D25" s="3"/>
      <c r="E25" s="3"/>
      <c r="F25" s="5"/>
      <c r="H25" s="32"/>
      <c r="I25" s="32"/>
    </row>
    <row r="26" spans="1:16" s="42" customFormat="1" x14ac:dyDescent="0.3">
      <c r="A26" s="31"/>
      <c r="B26" s="31"/>
      <c r="C26" s="31"/>
      <c r="D26" s="37"/>
      <c r="E26" s="37"/>
      <c r="F26" s="5"/>
      <c r="H26" s="37"/>
      <c r="I26" s="37"/>
    </row>
    <row r="27" spans="1:16" x14ac:dyDescent="0.3">
      <c r="A27" s="2"/>
      <c r="O27" s="11"/>
      <c r="P27" s="11"/>
    </row>
    <row r="28" spans="1:16" x14ac:dyDescent="0.3">
      <c r="A28" s="2" t="s">
        <v>4</v>
      </c>
      <c r="B28" s="1"/>
      <c r="C28" s="1"/>
      <c r="D28" s="3"/>
      <c r="E28" s="3"/>
      <c r="F28" s="1"/>
      <c r="H28" s="1"/>
      <c r="I28" s="1"/>
      <c r="O28" s="1"/>
      <c r="P28" s="11"/>
    </row>
    <row r="29" spans="1:16" x14ac:dyDescent="0.3">
      <c r="A29" s="2"/>
      <c r="B29" s="2" t="s">
        <v>1</v>
      </c>
      <c r="C29" s="13" t="s">
        <v>34</v>
      </c>
      <c r="D29" s="26" t="s">
        <v>38</v>
      </c>
      <c r="E29" s="26"/>
      <c r="F29" s="13" t="s">
        <v>2</v>
      </c>
      <c r="G29" s="13" t="s">
        <v>10</v>
      </c>
      <c r="H29" s="14" t="s">
        <v>40</v>
      </c>
      <c r="I29" s="14" t="s">
        <v>39</v>
      </c>
      <c r="J29" s="2" t="s">
        <v>15</v>
      </c>
      <c r="K29" s="14" t="s">
        <v>8</v>
      </c>
      <c r="L29" s="14" t="s">
        <v>20</v>
      </c>
      <c r="M29" s="14" t="s">
        <v>22</v>
      </c>
      <c r="N29" s="14" t="s">
        <v>21</v>
      </c>
      <c r="O29" s="14"/>
      <c r="P29" s="14"/>
    </row>
    <row r="30" spans="1:16" x14ac:dyDescent="0.3">
      <c r="A30" s="2"/>
      <c r="B30" s="18" t="s">
        <v>14</v>
      </c>
      <c r="C30" s="18" t="s">
        <v>27</v>
      </c>
      <c r="D30" s="14"/>
      <c r="E30" s="14"/>
      <c r="F30" s="18" t="s">
        <v>6</v>
      </c>
      <c r="G30" s="16" t="s">
        <v>17</v>
      </c>
      <c r="H30" s="16" t="s">
        <v>41</v>
      </c>
      <c r="I30" s="16" t="s">
        <v>41</v>
      </c>
      <c r="J30" s="18" t="s">
        <v>16</v>
      </c>
      <c r="K30" s="16" t="s">
        <v>19</v>
      </c>
      <c r="L30" s="16" t="s">
        <v>11</v>
      </c>
      <c r="M30" s="16" t="s">
        <v>13</v>
      </c>
      <c r="N30" s="16" t="s">
        <v>12</v>
      </c>
      <c r="O30" s="20"/>
      <c r="P30" s="20"/>
    </row>
    <row r="31" spans="1:16" s="25" customFormat="1" x14ac:dyDescent="0.3">
      <c r="A31" s="2"/>
      <c r="B31" s="42" t="s">
        <v>63</v>
      </c>
      <c r="C31" s="42" t="s">
        <v>64</v>
      </c>
      <c r="D31" s="42">
        <v>30</v>
      </c>
      <c r="F31" s="18"/>
      <c r="G31" s="77" t="s">
        <v>100</v>
      </c>
      <c r="H31" s="16"/>
      <c r="I31" s="16"/>
      <c r="J31" s="18"/>
      <c r="K31" s="16"/>
      <c r="L31" s="16"/>
      <c r="M31" s="16"/>
      <c r="N31" s="16"/>
      <c r="O31" s="20"/>
      <c r="P31" s="20"/>
    </row>
    <row r="32" spans="1:16" x14ac:dyDescent="0.3">
      <c r="A32" s="5"/>
      <c r="B32" s="42" t="s">
        <v>63</v>
      </c>
      <c r="C32" s="42" t="s">
        <v>67</v>
      </c>
      <c r="D32" s="42">
        <v>30</v>
      </c>
      <c r="F32" s="5"/>
      <c r="G32" s="77" t="s">
        <v>101</v>
      </c>
      <c r="H32" s="5"/>
      <c r="I32" s="5"/>
    </row>
    <row r="33" spans="1:9" s="42" customFormat="1" x14ac:dyDescent="0.3">
      <c r="A33" s="5"/>
      <c r="F33" s="5"/>
      <c r="G33" s="5"/>
      <c r="H33" s="5"/>
      <c r="I33" s="5"/>
    </row>
    <row r="34" spans="1:9" x14ac:dyDescent="0.3">
      <c r="A34" s="2" t="s">
        <v>30</v>
      </c>
      <c r="B34" s="8"/>
      <c r="C34" s="7"/>
      <c r="D34" s="8"/>
      <c r="E34" s="8"/>
      <c r="F34" s="5"/>
      <c r="G34" s="5"/>
    </row>
    <row r="35" spans="1:9" x14ac:dyDescent="0.3">
      <c r="A35" s="5"/>
      <c r="B35" s="9" t="s">
        <v>29</v>
      </c>
      <c r="C35" s="2" t="s">
        <v>28</v>
      </c>
      <c r="D35" s="2" t="s">
        <v>32</v>
      </c>
      <c r="E35" s="8"/>
      <c r="F35" s="5"/>
      <c r="G35" s="5"/>
    </row>
    <row r="36" spans="1:9" x14ac:dyDescent="0.3">
      <c r="A36" s="5"/>
      <c r="B36" s="18" t="s">
        <v>31</v>
      </c>
      <c r="C36" s="7"/>
      <c r="D36" s="8"/>
      <c r="E36" s="8"/>
      <c r="F36" s="5"/>
      <c r="G36" s="5"/>
    </row>
    <row r="37" spans="1:9" x14ac:dyDescent="0.3">
      <c r="A37" s="1"/>
      <c r="B37" s="4"/>
      <c r="C37" s="3"/>
      <c r="D37" s="1"/>
      <c r="F37" s="4"/>
      <c r="G37" s="1"/>
      <c r="H37" s="1"/>
    </row>
    <row r="38" spans="1:9" s="42" customFormat="1" x14ac:dyDescent="0.3">
      <c r="A38" s="2" t="s">
        <v>49</v>
      </c>
      <c r="B38" s="4"/>
      <c r="C38" s="37"/>
      <c r="D38" s="52" t="s">
        <v>70</v>
      </c>
      <c r="E38" s="52" t="s">
        <v>71</v>
      </c>
      <c r="F38" s="13" t="s">
        <v>2</v>
      </c>
      <c r="G38" s="47" t="s">
        <v>8</v>
      </c>
      <c r="H38" s="31"/>
    </row>
    <row r="39" spans="1:9" s="42" customFormat="1" x14ac:dyDescent="0.3">
      <c r="A39" s="31"/>
      <c r="B39" s="45"/>
      <c r="C39" s="46" t="s">
        <v>65</v>
      </c>
      <c r="D39" s="46"/>
      <c r="E39" s="46">
        <f>D31</f>
        <v>30</v>
      </c>
      <c r="F39" s="46" t="s">
        <v>47</v>
      </c>
      <c r="G39" s="31"/>
      <c r="H39" s="31"/>
    </row>
    <row r="40" spans="1:9" s="42" customFormat="1" x14ac:dyDescent="0.3">
      <c r="B40" s="46"/>
      <c r="C40" s="46" t="s">
        <v>72</v>
      </c>
      <c r="D40" s="46"/>
      <c r="E40" s="46">
        <v>22.8</v>
      </c>
      <c r="F40" s="46"/>
      <c r="G40" s="42" t="s">
        <v>73</v>
      </c>
    </row>
    <row r="41" spans="1:9" s="42" customFormat="1" x14ac:dyDescent="0.3">
      <c r="B41" s="46"/>
      <c r="C41" s="46" t="s">
        <v>66</v>
      </c>
      <c r="D41" s="46"/>
      <c r="E41" s="46">
        <f>D31*E40</f>
        <v>684</v>
      </c>
      <c r="F41" s="46" t="s">
        <v>47</v>
      </c>
    </row>
    <row r="42" spans="1:9" x14ac:dyDescent="0.3">
      <c r="A42" s="1"/>
      <c r="B42" s="4"/>
      <c r="C42" s="3"/>
      <c r="D42" s="1"/>
      <c r="F42" s="4"/>
      <c r="G42" s="1"/>
      <c r="H42" s="1"/>
    </row>
    <row r="43" spans="1:9" ht="13.5" customHeight="1" x14ac:dyDescent="0.3">
      <c r="A43" s="5"/>
      <c r="B43" s="8"/>
      <c r="D43" s="1"/>
      <c r="E43" s="1"/>
      <c r="F43" s="5"/>
      <c r="G43" s="5"/>
      <c r="H43" s="5"/>
    </row>
    <row r="44" spans="1:9" ht="13.5" customHeight="1" x14ac:dyDescent="0.3">
      <c r="A44" s="53" t="s">
        <v>81</v>
      </c>
      <c r="B44" s="8"/>
      <c r="C44" s="67" t="s">
        <v>87</v>
      </c>
      <c r="D44" s="68" t="s">
        <v>88</v>
      </c>
      <c r="E44" s="53" t="s">
        <v>89</v>
      </c>
      <c r="F44" s="63" t="s">
        <v>90</v>
      </c>
      <c r="G44" s="53" t="s">
        <v>91</v>
      </c>
      <c r="H44" s="2" t="s">
        <v>2</v>
      </c>
    </row>
    <row r="45" spans="1:9" ht="13.5" customHeight="1" x14ac:dyDescent="0.3">
      <c r="A45" s="64" t="s">
        <v>82</v>
      </c>
      <c r="B45" s="70">
        <v>1</v>
      </c>
      <c r="C45" s="8"/>
      <c r="D45" s="9"/>
      <c r="E45" s="9"/>
      <c r="F45" s="2"/>
      <c r="G45" s="2"/>
      <c r="H45" s="2"/>
      <c r="I45" s="12"/>
    </row>
    <row r="46" spans="1:9" s="25" customFormat="1" ht="13.5" customHeight="1" x14ac:dyDescent="0.3">
      <c r="A46" s="64" t="s">
        <v>83</v>
      </c>
      <c r="B46" s="42" t="s">
        <v>68</v>
      </c>
      <c r="C46" s="8"/>
      <c r="D46" s="9"/>
      <c r="E46" s="9"/>
      <c r="F46" s="2"/>
      <c r="G46" s="2"/>
      <c r="H46" s="2"/>
      <c r="I46" s="12"/>
    </row>
    <row r="47" spans="1:9" s="24" customFormat="1" ht="13.5" customHeight="1" x14ac:dyDescent="0.3">
      <c r="A47" s="65" t="s">
        <v>84</v>
      </c>
      <c r="B47" s="24" t="s">
        <v>69</v>
      </c>
      <c r="C47" s="27"/>
      <c r="D47" s="9"/>
      <c r="E47" s="9"/>
      <c r="F47" s="2"/>
      <c r="G47" s="2"/>
      <c r="H47" s="2"/>
      <c r="I47" s="12"/>
    </row>
    <row r="48" spans="1:9" s="25" customFormat="1" ht="13.5" customHeight="1" x14ac:dyDescent="0.3">
      <c r="A48" s="65" t="s">
        <v>85</v>
      </c>
      <c r="B48" s="42" t="s">
        <v>62</v>
      </c>
      <c r="C48" s="27"/>
      <c r="D48" s="9"/>
      <c r="E48" s="9"/>
      <c r="F48" s="2"/>
      <c r="G48" s="2"/>
      <c r="H48" s="2"/>
      <c r="I48" s="12"/>
    </row>
    <row r="49" spans="1:10" ht="13.5" customHeight="1" x14ac:dyDescent="0.3">
      <c r="A49" s="66" t="s">
        <v>86</v>
      </c>
      <c r="B49" s="42">
        <v>2022</v>
      </c>
      <c r="C49" s="21"/>
      <c r="D49" s="9"/>
      <c r="E49" s="9"/>
      <c r="F49" s="2"/>
      <c r="G49" s="2"/>
      <c r="H49" s="2"/>
    </row>
    <row r="50" spans="1:10" ht="13.5" customHeight="1" x14ac:dyDescent="0.3">
      <c r="A50" s="2"/>
      <c r="B50" s="42"/>
      <c r="C50" s="28"/>
      <c r="F50" s="4"/>
      <c r="G50" s="1"/>
      <c r="H50" s="1"/>
    </row>
    <row r="51" spans="1:10" ht="13.5" customHeight="1" x14ac:dyDescent="0.3">
      <c r="A51" s="5"/>
      <c r="B51" s="42"/>
      <c r="C51" s="21"/>
      <c r="D51" s="9"/>
      <c r="F51" s="5"/>
      <c r="G51" s="5"/>
      <c r="H51" s="5"/>
    </row>
    <row r="52" spans="1:10" x14ac:dyDescent="0.3">
      <c r="A52" s="5"/>
      <c r="B52" s="42"/>
      <c r="C52" s="22" t="s">
        <v>62</v>
      </c>
      <c r="D52" s="6"/>
      <c r="F52" s="5"/>
      <c r="G52" s="5"/>
      <c r="H52" s="5"/>
    </row>
    <row r="53" spans="1:10" x14ac:dyDescent="0.3">
      <c r="A53" s="5"/>
      <c r="B53" s="42"/>
      <c r="C53" s="23"/>
      <c r="D53" s="69" t="s">
        <v>92</v>
      </c>
      <c r="E53" s="42" t="s">
        <v>95</v>
      </c>
      <c r="F53" s="51">
        <f>(E15*E39)+(E17*E41)+(E19*D32)</f>
        <v>351000</v>
      </c>
      <c r="G53" s="17"/>
      <c r="H53" s="1" t="s">
        <v>47</v>
      </c>
      <c r="I53" s="1"/>
      <c r="J53" s="15"/>
    </row>
    <row r="54" spans="1:10" x14ac:dyDescent="0.3">
      <c r="A54" s="5"/>
      <c r="B54" s="42"/>
      <c r="C54" s="23"/>
      <c r="D54" s="69" t="s">
        <v>93</v>
      </c>
      <c r="E54" s="42" t="s">
        <v>95</v>
      </c>
      <c r="F54" s="43">
        <f>E21/100</f>
        <v>0.75</v>
      </c>
      <c r="G54" s="5"/>
      <c r="H54" s="1" t="s">
        <v>42</v>
      </c>
      <c r="I54" s="1"/>
    </row>
    <row r="55" spans="1:10" x14ac:dyDescent="0.3">
      <c r="A55" s="5"/>
      <c r="B55" s="42"/>
      <c r="C55" s="23"/>
      <c r="D55" s="69" t="s">
        <v>94</v>
      </c>
      <c r="E55" s="42" t="s">
        <v>95</v>
      </c>
      <c r="F55" s="51">
        <f>F53*F54</f>
        <v>263250</v>
      </c>
      <c r="G55" s="51">
        <f>F55</f>
        <v>263250</v>
      </c>
      <c r="H55" s="1" t="s">
        <v>47</v>
      </c>
      <c r="I55" s="1"/>
    </row>
    <row r="56" spans="1:10" s="42" customFormat="1" x14ac:dyDescent="0.3">
      <c r="A56" s="5"/>
      <c r="C56" s="23"/>
      <c r="G56" s="31"/>
      <c r="H56" s="31"/>
    </row>
    <row r="57" spans="1:10" s="77" customFormat="1" x14ac:dyDescent="0.3">
      <c r="A57" s="5"/>
      <c r="C57" s="23"/>
      <c r="G57" s="31"/>
      <c r="H57" s="31"/>
    </row>
    <row r="58" spans="1:10" x14ac:dyDescent="0.3">
      <c r="A58" s="64" t="s">
        <v>96</v>
      </c>
      <c r="B58" s="42"/>
    </row>
    <row r="59" spans="1:10" s="42" customFormat="1" x14ac:dyDescent="0.3"/>
    <row r="60" spans="1:10" s="42" customFormat="1" x14ac:dyDescent="0.3"/>
    <row r="63" spans="1:10" s="42" customFormat="1" x14ac:dyDescent="0.3"/>
    <row r="64" spans="1:10" s="42" customFormat="1" x14ac:dyDescent="0.3"/>
    <row r="65" s="42" customFormat="1" x14ac:dyDescent="0.3"/>
  </sheetData>
  <mergeCells count="2">
    <mergeCell ref="D3:E3"/>
    <mergeCell ref="D9:E9"/>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2"/>
  <sheetViews>
    <sheetView topLeftCell="A12" workbookViewId="0">
      <selection activeCell="A23" sqref="A23:XFD42"/>
    </sheetView>
  </sheetViews>
  <sheetFormatPr defaultColWidth="9.109375" defaultRowHeight="14.4" x14ac:dyDescent="0.3"/>
  <cols>
    <col min="1" max="1" width="28.5546875" style="78" bestFit="1" customWidth="1"/>
    <col min="2" max="16384" width="9.109375" style="77"/>
  </cols>
  <sheetData>
    <row r="1" spans="1:3" s="81" customFormat="1" x14ac:dyDescent="0.3">
      <c r="A1" s="76" t="s">
        <v>97</v>
      </c>
      <c r="B1" s="85" t="s">
        <v>98</v>
      </c>
      <c r="C1" s="85" t="s">
        <v>99</v>
      </c>
    </row>
    <row r="2" spans="1:3" x14ac:dyDescent="0.3">
      <c r="A2" s="80" t="s">
        <v>74</v>
      </c>
      <c r="B2" s="82">
        <v>1</v>
      </c>
      <c r="C2" s="77">
        <v>1</v>
      </c>
    </row>
    <row r="3" spans="1:3" x14ac:dyDescent="0.3">
      <c r="A3" s="80" t="s">
        <v>75</v>
      </c>
      <c r="B3" s="77">
        <v>4</v>
      </c>
      <c r="C3" s="81">
        <v>3</v>
      </c>
    </row>
    <row r="4" spans="1:3" x14ac:dyDescent="0.3">
      <c r="A4" s="80" t="s">
        <v>76</v>
      </c>
      <c r="B4" s="77">
        <v>4</v>
      </c>
      <c r="C4" s="77">
        <v>4</v>
      </c>
    </row>
    <row r="5" spans="1:3" x14ac:dyDescent="0.3">
      <c r="A5" s="79" t="s">
        <v>78</v>
      </c>
      <c r="B5" s="77">
        <v>9</v>
      </c>
      <c r="C5" s="77">
        <v>7</v>
      </c>
    </row>
    <row r="6" spans="1:3" x14ac:dyDescent="0.3">
      <c r="A6" s="80" t="s">
        <v>79</v>
      </c>
      <c r="B6" s="77">
        <v>9</v>
      </c>
      <c r="C6" s="77">
        <v>8</v>
      </c>
    </row>
    <row r="7" spans="1:3" x14ac:dyDescent="0.3">
      <c r="A7" s="80" t="s">
        <v>80</v>
      </c>
      <c r="B7" s="77">
        <v>9</v>
      </c>
      <c r="C7" s="77">
        <v>9</v>
      </c>
    </row>
    <row r="8" spans="1:3" x14ac:dyDescent="0.3">
      <c r="A8" s="105" t="s">
        <v>166</v>
      </c>
      <c r="B8" s="77">
        <v>28</v>
      </c>
      <c r="C8" s="77">
        <v>3</v>
      </c>
    </row>
    <row r="9" spans="1:3" x14ac:dyDescent="0.3">
      <c r="A9" s="105" t="s">
        <v>168</v>
      </c>
      <c r="B9" s="77">
        <v>28</v>
      </c>
      <c r="C9" s="77">
        <v>4</v>
      </c>
    </row>
    <row r="10" spans="1:3" x14ac:dyDescent="0.3">
      <c r="A10" s="105" t="s">
        <v>167</v>
      </c>
      <c r="B10" s="77">
        <v>28</v>
      </c>
      <c r="C10" s="77">
        <v>5</v>
      </c>
    </row>
    <row r="11" spans="1:3" x14ac:dyDescent="0.3">
      <c r="A11" s="71" t="s">
        <v>81</v>
      </c>
      <c r="B11" s="77">
        <v>48</v>
      </c>
      <c r="C11" s="77">
        <v>1</v>
      </c>
    </row>
    <row r="12" spans="1:3" x14ac:dyDescent="0.3">
      <c r="A12" s="83" t="s">
        <v>87</v>
      </c>
      <c r="B12" s="77">
        <v>48</v>
      </c>
      <c r="C12" s="77">
        <v>3</v>
      </c>
    </row>
    <row r="13" spans="1:3" x14ac:dyDescent="0.3">
      <c r="A13" s="84" t="s">
        <v>88</v>
      </c>
      <c r="B13" s="77">
        <v>48</v>
      </c>
      <c r="C13" s="77">
        <v>4</v>
      </c>
    </row>
    <row r="14" spans="1:3" x14ac:dyDescent="0.3">
      <c r="A14" s="71" t="s">
        <v>89</v>
      </c>
      <c r="B14" s="77">
        <v>48</v>
      </c>
      <c r="C14" s="77">
        <v>5</v>
      </c>
    </row>
    <row r="15" spans="1:3" x14ac:dyDescent="0.3">
      <c r="A15" s="80" t="s">
        <v>90</v>
      </c>
      <c r="B15" s="77">
        <v>48</v>
      </c>
      <c r="C15" s="77">
        <v>6</v>
      </c>
    </row>
    <row r="16" spans="1:3" x14ac:dyDescent="0.3">
      <c r="A16" s="80" t="s">
        <v>91</v>
      </c>
      <c r="B16" s="77">
        <v>48</v>
      </c>
      <c r="C16" s="77">
        <v>7</v>
      </c>
    </row>
    <row r="17" spans="1:3" x14ac:dyDescent="0.3">
      <c r="A17" s="75" t="s">
        <v>82</v>
      </c>
      <c r="B17" s="77">
        <v>49</v>
      </c>
      <c r="C17" s="77">
        <v>1</v>
      </c>
    </row>
    <row r="18" spans="1:3" x14ac:dyDescent="0.3">
      <c r="A18" s="75" t="s">
        <v>83</v>
      </c>
      <c r="B18" s="77">
        <v>50</v>
      </c>
      <c r="C18" s="77">
        <v>1</v>
      </c>
    </row>
    <row r="19" spans="1:3" x14ac:dyDescent="0.3">
      <c r="A19" s="72" t="s">
        <v>84</v>
      </c>
      <c r="B19" s="77">
        <v>51</v>
      </c>
      <c r="C19" s="77">
        <v>1</v>
      </c>
    </row>
    <row r="20" spans="1:3" x14ac:dyDescent="0.3">
      <c r="A20" s="72" t="s">
        <v>85</v>
      </c>
      <c r="B20" s="77">
        <v>52</v>
      </c>
      <c r="C20" s="77">
        <v>1</v>
      </c>
    </row>
    <row r="21" spans="1:3" x14ac:dyDescent="0.3">
      <c r="A21" s="73" t="s">
        <v>86</v>
      </c>
      <c r="B21" s="77">
        <v>53</v>
      </c>
      <c r="C21" s="77">
        <v>1</v>
      </c>
    </row>
    <row r="22" spans="1:3" x14ac:dyDescent="0.3">
      <c r="A22" s="75" t="s">
        <v>96</v>
      </c>
      <c r="B22" s="77">
        <v>63</v>
      </c>
      <c r="C22" s="77">
        <v>1</v>
      </c>
    </row>
  </sheetData>
  <dataConsolid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7030A0"/>
  </sheetPr>
  <dimension ref="A1:P63"/>
  <sheetViews>
    <sheetView topLeftCell="A13" zoomScaleNormal="100" workbookViewId="0">
      <selection activeCell="C35" sqref="C35"/>
    </sheetView>
  </sheetViews>
  <sheetFormatPr defaultColWidth="8.88671875" defaultRowHeight="14.4" x14ac:dyDescent="0.3"/>
  <cols>
    <col min="1" max="1" width="30.6640625" style="77" customWidth="1"/>
    <col min="2" max="2" width="28.44140625" style="77" customWidth="1"/>
    <col min="3" max="3" width="72.5546875" style="77" customWidth="1"/>
    <col min="4" max="4" width="25.88671875" style="77" bestFit="1" customWidth="1"/>
    <col min="5" max="5" width="21.33203125" style="77" customWidth="1"/>
    <col min="6" max="6" width="19.44140625" style="77" customWidth="1"/>
    <col min="7" max="7" width="38.5546875" style="77" customWidth="1"/>
    <col min="8" max="8" width="39.5546875" style="77" customWidth="1"/>
    <col min="9" max="9" width="25" style="77" customWidth="1"/>
    <col min="10" max="10" width="17.5546875" style="77" customWidth="1"/>
    <col min="11" max="11" width="23.6640625" style="77" customWidth="1"/>
    <col min="12" max="12" width="21.88671875" style="77" customWidth="1"/>
    <col min="13" max="13" width="19" style="77" customWidth="1"/>
    <col min="14" max="14" width="23.5546875" style="77" customWidth="1"/>
    <col min="15" max="15" width="17.5546875" style="77" customWidth="1"/>
    <col min="16" max="16" width="19.5546875" style="77" customWidth="1"/>
    <col min="17" max="17" width="18.44140625" style="77" customWidth="1"/>
    <col min="18" max="16384" width="8.88671875" style="77"/>
  </cols>
  <sheetData>
    <row r="1" spans="1:15" x14ac:dyDescent="0.3">
      <c r="A1" s="53" t="s">
        <v>74</v>
      </c>
      <c r="B1" s="2" t="s">
        <v>106</v>
      </c>
      <c r="C1" s="31"/>
      <c r="E1" s="37"/>
      <c r="F1" s="31"/>
      <c r="G1" s="4"/>
      <c r="H1" s="31"/>
    </row>
    <row r="2" spans="1:15" x14ac:dyDescent="0.3">
      <c r="A2" s="2"/>
      <c r="B2" s="31"/>
      <c r="C2" s="31"/>
      <c r="D2" s="37"/>
      <c r="E2" s="37"/>
      <c r="F2" s="31"/>
      <c r="G2" s="4"/>
      <c r="H2" s="31"/>
    </row>
    <row r="3" spans="1:15" x14ac:dyDescent="0.3">
      <c r="A3" s="2" t="s">
        <v>0</v>
      </c>
      <c r="B3" s="31"/>
      <c r="C3" s="31"/>
      <c r="D3" s="109" t="s">
        <v>38</v>
      </c>
      <c r="E3" s="109"/>
      <c r="F3" s="4"/>
      <c r="G3" s="4"/>
    </row>
    <row r="4" spans="1:15" x14ac:dyDescent="0.3">
      <c r="A4" s="2"/>
      <c r="B4" s="78"/>
      <c r="C4" s="55" t="s">
        <v>75</v>
      </c>
      <c r="D4" s="56" t="s">
        <v>76</v>
      </c>
      <c r="F4" s="4"/>
      <c r="G4" s="57"/>
      <c r="H4" s="78"/>
    </row>
    <row r="5" spans="1:15" x14ac:dyDescent="0.3">
      <c r="A5" s="2"/>
      <c r="B5" s="58"/>
      <c r="C5" s="59" t="s">
        <v>102</v>
      </c>
      <c r="D5" s="60">
        <v>2018</v>
      </c>
      <c r="E5" s="86"/>
      <c r="F5" s="4"/>
      <c r="G5" s="57"/>
      <c r="H5" s="78"/>
    </row>
    <row r="6" spans="1:15" x14ac:dyDescent="0.3">
      <c r="A6" s="2"/>
      <c r="B6" s="58"/>
      <c r="C6" s="59" t="s">
        <v>103</v>
      </c>
      <c r="D6" s="60">
        <v>60</v>
      </c>
      <c r="E6" s="86"/>
      <c r="F6" s="4"/>
      <c r="G6" s="57"/>
      <c r="H6" s="78"/>
    </row>
    <row r="7" spans="1:15" x14ac:dyDescent="0.3">
      <c r="A7" s="2"/>
      <c r="B7" s="58"/>
      <c r="C7" s="59" t="s">
        <v>77</v>
      </c>
      <c r="D7" s="60">
        <v>12</v>
      </c>
      <c r="E7" s="86"/>
      <c r="F7" s="4"/>
      <c r="G7" s="57"/>
      <c r="H7" s="78"/>
    </row>
    <row r="8" spans="1:15" x14ac:dyDescent="0.3">
      <c r="C8" s="78"/>
    </row>
    <row r="9" spans="1:15" x14ac:dyDescent="0.3">
      <c r="A9" s="2"/>
      <c r="B9" s="2" t="s">
        <v>37</v>
      </c>
      <c r="C9" s="77" t="s">
        <v>33</v>
      </c>
      <c r="D9" s="2" t="s">
        <v>107</v>
      </c>
      <c r="E9" s="14" t="s">
        <v>3</v>
      </c>
      <c r="F9" s="13" t="s">
        <v>2</v>
      </c>
      <c r="G9" s="79" t="s">
        <v>78</v>
      </c>
      <c r="H9" s="80" t="s">
        <v>79</v>
      </c>
      <c r="I9" s="63" t="s">
        <v>80</v>
      </c>
      <c r="J9" s="2" t="s">
        <v>15</v>
      </c>
      <c r="K9" s="14" t="s">
        <v>26</v>
      </c>
      <c r="L9" s="29" t="s">
        <v>8</v>
      </c>
      <c r="M9" s="14" t="s">
        <v>21</v>
      </c>
      <c r="N9" s="14" t="s">
        <v>20</v>
      </c>
      <c r="O9" s="14" t="s">
        <v>22</v>
      </c>
    </row>
    <row r="10" spans="1:15" x14ac:dyDescent="0.3">
      <c r="A10" s="2"/>
      <c r="C10" s="19" t="s">
        <v>7</v>
      </c>
      <c r="D10" s="14"/>
      <c r="E10" s="14"/>
      <c r="F10" s="18" t="s">
        <v>6</v>
      </c>
      <c r="G10" s="16" t="s">
        <v>5</v>
      </c>
      <c r="H10" s="16" t="s">
        <v>41</v>
      </c>
      <c r="I10" s="16" t="s">
        <v>41</v>
      </c>
      <c r="J10" s="16" t="s">
        <v>16</v>
      </c>
      <c r="K10" s="16" t="s">
        <v>9</v>
      </c>
      <c r="L10" s="16" t="s">
        <v>18</v>
      </c>
      <c r="M10" s="16" t="s">
        <v>24</v>
      </c>
      <c r="N10" s="16" t="s">
        <v>23</v>
      </c>
      <c r="O10" s="16" t="s">
        <v>25</v>
      </c>
    </row>
    <row r="11" spans="1:15" x14ac:dyDescent="0.3">
      <c r="A11" s="2" t="s">
        <v>108</v>
      </c>
      <c r="B11" s="31"/>
      <c r="C11" s="31"/>
      <c r="F11" s="37"/>
      <c r="G11" s="31"/>
      <c r="H11" s="31"/>
      <c r="I11" s="31"/>
      <c r="J11" s="2"/>
      <c r="K11" s="31"/>
    </row>
    <row r="12" spans="1:15" x14ac:dyDescent="0.3">
      <c r="A12" s="2"/>
      <c r="B12" s="31" t="s">
        <v>35</v>
      </c>
      <c r="C12" s="31"/>
      <c r="D12" s="31"/>
      <c r="E12" s="31"/>
      <c r="F12" s="37"/>
      <c r="G12" s="31"/>
      <c r="H12" s="31"/>
      <c r="I12" s="31"/>
      <c r="J12" s="2"/>
      <c r="K12" s="31"/>
    </row>
    <row r="13" spans="1:15" x14ac:dyDescent="0.3">
      <c r="A13" s="2"/>
      <c r="B13" s="31"/>
      <c r="C13" s="31"/>
      <c r="D13" s="31"/>
      <c r="E13" s="31"/>
      <c r="F13" s="37"/>
      <c r="G13" s="31"/>
      <c r="H13" s="31"/>
      <c r="I13" s="31"/>
      <c r="J13" s="2"/>
      <c r="K13" s="31"/>
    </row>
    <row r="14" spans="1:15" x14ac:dyDescent="0.3">
      <c r="A14" s="31"/>
      <c r="B14" s="37">
        <v>1</v>
      </c>
      <c r="C14" s="35" t="s">
        <v>109</v>
      </c>
      <c r="D14" s="37" t="s">
        <v>110</v>
      </c>
      <c r="E14" s="38"/>
      <c r="F14" s="36"/>
      <c r="G14" s="110" t="s">
        <v>111</v>
      </c>
      <c r="H14" s="37" t="s">
        <v>110</v>
      </c>
      <c r="I14" s="37">
        <v>0</v>
      </c>
      <c r="J14" s="31" t="s">
        <v>112</v>
      </c>
      <c r="K14" s="40"/>
      <c r="L14" s="41"/>
      <c r="M14" s="39"/>
      <c r="N14" s="39"/>
      <c r="O14" s="39"/>
    </row>
    <row r="15" spans="1:15" x14ac:dyDescent="0.3">
      <c r="A15" s="31"/>
      <c r="B15" s="37"/>
      <c r="C15" s="35"/>
      <c r="D15" s="38"/>
      <c r="E15" s="38"/>
      <c r="F15" s="36"/>
      <c r="G15" s="110"/>
      <c r="H15" s="37" t="s">
        <v>113</v>
      </c>
      <c r="I15" s="37">
        <v>30</v>
      </c>
      <c r="J15" s="31"/>
      <c r="K15" s="40"/>
      <c r="L15" s="41"/>
      <c r="M15" s="39"/>
      <c r="N15" s="39"/>
      <c r="O15" s="39"/>
    </row>
    <row r="16" spans="1:15" x14ac:dyDescent="0.3">
      <c r="A16" s="31"/>
      <c r="B16" s="37"/>
      <c r="C16" s="35"/>
      <c r="D16" s="38"/>
      <c r="E16" s="38"/>
      <c r="F16" s="36"/>
      <c r="G16" s="38"/>
      <c r="H16" s="37"/>
      <c r="I16" s="37"/>
      <c r="J16" s="31"/>
      <c r="K16" s="40"/>
      <c r="L16" s="41"/>
      <c r="M16" s="39"/>
      <c r="N16" s="39"/>
      <c r="O16" s="39"/>
    </row>
    <row r="17" spans="1:15" s="11" customFormat="1" x14ac:dyDescent="0.3">
      <c r="C17" s="102"/>
      <c r="G17" s="102"/>
      <c r="H17" s="102" t="s">
        <v>114</v>
      </c>
      <c r="I17" s="11">
        <v>0.97</v>
      </c>
    </row>
    <row r="18" spans="1:15" x14ac:dyDescent="0.3">
      <c r="A18" s="31"/>
      <c r="B18" s="37">
        <v>2</v>
      </c>
      <c r="C18" s="33" t="s">
        <v>44</v>
      </c>
      <c r="D18" s="37" t="s">
        <v>43</v>
      </c>
      <c r="E18" s="37"/>
      <c r="F18" s="5"/>
      <c r="G18" s="5" t="s">
        <v>45</v>
      </c>
      <c r="H18" s="37"/>
      <c r="I18" s="37"/>
      <c r="J18" s="31" t="s">
        <v>115</v>
      </c>
      <c r="K18" s="39"/>
      <c r="L18" s="39"/>
      <c r="M18" s="39"/>
      <c r="N18" s="39"/>
      <c r="O18" s="39"/>
    </row>
    <row r="19" spans="1:15" x14ac:dyDescent="0.3">
      <c r="A19" s="31"/>
      <c r="B19" s="37"/>
      <c r="C19" s="33"/>
      <c r="D19" s="37"/>
      <c r="E19" s="37"/>
      <c r="F19" s="5"/>
      <c r="G19" s="31"/>
      <c r="H19" s="37"/>
      <c r="I19" s="37"/>
      <c r="J19" s="31"/>
      <c r="K19" s="44"/>
      <c r="L19" s="44"/>
      <c r="M19" s="44"/>
      <c r="N19" s="44"/>
      <c r="O19" s="44"/>
    </row>
    <row r="20" spans="1:15" x14ac:dyDescent="0.3">
      <c r="A20" s="31"/>
      <c r="B20" s="31" t="s">
        <v>36</v>
      </c>
      <c r="C20" s="31"/>
      <c r="D20" s="37"/>
      <c r="E20" s="37"/>
      <c r="F20" s="5"/>
      <c r="H20" s="37"/>
      <c r="I20" s="37"/>
    </row>
    <row r="21" spans="1:15" x14ac:dyDescent="0.3">
      <c r="A21" s="31"/>
      <c r="B21" s="31"/>
      <c r="C21" s="31"/>
      <c r="D21" s="37"/>
      <c r="E21" s="37"/>
      <c r="F21" s="5"/>
      <c r="H21" s="37"/>
      <c r="I21" s="37"/>
    </row>
    <row r="22" spans="1:15" x14ac:dyDescent="0.3">
      <c r="A22" s="31"/>
      <c r="B22" s="77">
        <v>1</v>
      </c>
      <c r="C22" s="13" t="s">
        <v>116</v>
      </c>
      <c r="D22" s="88">
        <v>1000</v>
      </c>
      <c r="E22" s="87"/>
      <c r="F22" s="5" t="s">
        <v>47</v>
      </c>
      <c r="G22" s="5" t="s">
        <v>117</v>
      </c>
      <c r="H22" s="37"/>
      <c r="I22" s="37"/>
      <c r="J22" s="31"/>
      <c r="K22" s="44"/>
      <c r="L22" s="44"/>
      <c r="M22" s="44"/>
      <c r="N22" s="44"/>
      <c r="O22" s="44"/>
    </row>
    <row r="23" spans="1:15" x14ac:dyDescent="0.3">
      <c r="A23" s="31"/>
      <c r="C23" s="31"/>
      <c r="D23" s="87"/>
      <c r="E23" s="87"/>
      <c r="F23" s="5"/>
      <c r="H23" s="37"/>
      <c r="I23" s="37"/>
      <c r="J23" s="31"/>
      <c r="K23" s="44"/>
      <c r="L23" s="44"/>
      <c r="M23" s="44"/>
      <c r="N23" s="44"/>
      <c r="O23" s="44"/>
    </row>
    <row r="24" spans="1:15" x14ac:dyDescent="0.3">
      <c r="A24" s="31"/>
      <c r="B24" s="77">
        <v>2</v>
      </c>
      <c r="C24" s="13" t="s">
        <v>118</v>
      </c>
      <c r="D24" s="88">
        <v>50</v>
      </c>
      <c r="E24" s="87"/>
      <c r="F24" s="5" t="s">
        <v>119</v>
      </c>
      <c r="G24" s="5" t="s">
        <v>118</v>
      </c>
      <c r="H24" s="37"/>
      <c r="I24" s="37"/>
      <c r="J24" s="31"/>
      <c r="K24" s="44"/>
      <c r="L24" s="44"/>
      <c r="M24" s="44"/>
      <c r="N24" s="44"/>
      <c r="O24" s="44"/>
    </row>
    <row r="25" spans="1:15" x14ac:dyDescent="0.3">
      <c r="A25" s="31"/>
      <c r="C25" s="31"/>
      <c r="D25" s="87"/>
      <c r="E25" s="87"/>
      <c r="F25" s="5"/>
      <c r="G25" s="31"/>
      <c r="H25" s="37"/>
      <c r="I25" s="37"/>
      <c r="J25" s="31"/>
      <c r="K25" s="44"/>
      <c r="L25" s="44"/>
      <c r="M25" s="44"/>
      <c r="N25" s="44"/>
      <c r="O25" s="44"/>
    </row>
    <row r="26" spans="1:15" x14ac:dyDescent="0.3">
      <c r="A26" s="31"/>
      <c r="B26" s="77">
        <v>3</v>
      </c>
      <c r="C26" s="13" t="s">
        <v>46</v>
      </c>
      <c r="D26" s="88">
        <v>85</v>
      </c>
      <c r="E26" s="87"/>
      <c r="F26" s="5" t="s">
        <v>48</v>
      </c>
      <c r="G26" s="5" t="s">
        <v>120</v>
      </c>
      <c r="H26" s="37"/>
      <c r="I26" s="37"/>
      <c r="J26" s="31"/>
      <c r="K26" s="44"/>
      <c r="L26" s="44"/>
      <c r="M26" s="44"/>
      <c r="N26" s="44"/>
      <c r="O26" s="44"/>
    </row>
    <row r="27" spans="1:15" x14ac:dyDescent="0.3">
      <c r="A27" s="31"/>
      <c r="C27" s="31"/>
      <c r="D27" s="87"/>
      <c r="E27" s="87"/>
      <c r="F27" s="5"/>
      <c r="G27" s="31"/>
      <c r="H27" s="37"/>
      <c r="I27" s="37"/>
      <c r="J27" s="31"/>
      <c r="K27" s="44"/>
      <c r="L27" s="44"/>
      <c r="M27" s="44"/>
      <c r="N27" s="44"/>
      <c r="O27" s="44"/>
    </row>
    <row r="28" spans="1:15" x14ac:dyDescent="0.3">
      <c r="A28" s="31"/>
      <c r="B28" s="31"/>
      <c r="C28" s="53" t="s">
        <v>166</v>
      </c>
      <c r="D28" s="104" t="s">
        <v>168</v>
      </c>
      <c r="E28" s="104" t="s">
        <v>167</v>
      </c>
      <c r="F28" s="5"/>
      <c r="H28" s="37"/>
      <c r="I28" s="37"/>
    </row>
    <row r="29" spans="1:15" x14ac:dyDescent="0.3">
      <c r="C29" s="106" t="s">
        <v>170</v>
      </c>
      <c r="D29" s="107" t="s">
        <v>172</v>
      </c>
    </row>
    <row r="30" spans="1:15" x14ac:dyDescent="0.3">
      <c r="C30" s="106" t="s">
        <v>171</v>
      </c>
      <c r="D30" s="77">
        <v>72</v>
      </c>
    </row>
    <row r="32" spans="1:15" x14ac:dyDescent="0.3">
      <c r="A32" s="14" t="s">
        <v>121</v>
      </c>
    </row>
    <row r="33" spans="1:16" x14ac:dyDescent="0.3">
      <c r="A33" s="2"/>
      <c r="B33" s="16"/>
      <c r="C33" s="77" t="s">
        <v>122</v>
      </c>
      <c r="E33" s="77">
        <v>0</v>
      </c>
    </row>
    <row r="34" spans="1:16" x14ac:dyDescent="0.3">
      <c r="A34" s="2"/>
      <c r="O34" s="11"/>
      <c r="P34" s="11"/>
    </row>
    <row r="35" spans="1:16" x14ac:dyDescent="0.3">
      <c r="A35" s="2" t="s">
        <v>4</v>
      </c>
      <c r="B35" s="31"/>
      <c r="C35" s="31"/>
      <c r="D35" s="37"/>
      <c r="E35" s="37"/>
      <c r="F35" s="31"/>
      <c r="H35" s="31"/>
      <c r="I35" s="31"/>
      <c r="O35" s="31"/>
      <c r="P35" s="11"/>
    </row>
    <row r="36" spans="1:16" x14ac:dyDescent="0.3">
      <c r="A36" s="2"/>
      <c r="B36" s="2" t="s">
        <v>1</v>
      </c>
      <c r="C36" s="13" t="s">
        <v>34</v>
      </c>
      <c r="D36" s="86" t="s">
        <v>38</v>
      </c>
      <c r="E36" s="86"/>
      <c r="F36" s="13" t="s">
        <v>2</v>
      </c>
      <c r="G36" s="13" t="s">
        <v>10</v>
      </c>
      <c r="H36" s="14" t="s">
        <v>40</v>
      </c>
      <c r="I36" s="14" t="s">
        <v>39</v>
      </c>
      <c r="J36" s="2" t="s">
        <v>15</v>
      </c>
      <c r="K36" s="14" t="s">
        <v>8</v>
      </c>
      <c r="L36" s="14" t="s">
        <v>20</v>
      </c>
      <c r="M36" s="14" t="s">
        <v>22</v>
      </c>
      <c r="N36" s="14" t="s">
        <v>21</v>
      </c>
      <c r="O36" s="14"/>
      <c r="P36" s="14"/>
    </row>
    <row r="37" spans="1:16" x14ac:dyDescent="0.3">
      <c r="A37" s="2"/>
      <c r="B37" s="18" t="s">
        <v>14</v>
      </c>
      <c r="C37" s="18" t="s">
        <v>27</v>
      </c>
      <c r="D37" s="14"/>
      <c r="E37" s="14"/>
      <c r="F37" s="18" t="s">
        <v>6</v>
      </c>
      <c r="G37" s="16" t="s">
        <v>17</v>
      </c>
      <c r="H37" s="16" t="s">
        <v>41</v>
      </c>
      <c r="I37" s="16" t="s">
        <v>41</v>
      </c>
      <c r="J37" s="18" t="s">
        <v>16</v>
      </c>
      <c r="K37" s="16" t="s">
        <v>19</v>
      </c>
      <c r="L37" s="16" t="s">
        <v>11</v>
      </c>
      <c r="M37" s="16" t="s">
        <v>13</v>
      </c>
      <c r="N37" s="16" t="s">
        <v>12</v>
      </c>
      <c r="O37" s="20"/>
      <c r="P37" s="20"/>
    </row>
    <row r="38" spans="1:16" x14ac:dyDescent="0.3">
      <c r="A38" s="2"/>
      <c r="B38" s="18"/>
      <c r="C38" s="18"/>
      <c r="D38" s="14"/>
      <c r="E38" s="14"/>
      <c r="F38" s="18"/>
      <c r="G38" s="16"/>
      <c r="H38" s="16"/>
      <c r="I38" s="16"/>
      <c r="J38" s="18"/>
      <c r="K38" s="16"/>
      <c r="L38" s="16"/>
      <c r="M38" s="16"/>
      <c r="N38" s="16"/>
      <c r="O38" s="20"/>
      <c r="P38" s="20"/>
    </row>
    <row r="39" spans="1:16" x14ac:dyDescent="0.3">
      <c r="A39" s="5"/>
      <c r="B39" s="8"/>
      <c r="C39" s="7"/>
      <c r="D39" s="8"/>
      <c r="E39" s="8"/>
      <c r="F39" s="5"/>
      <c r="G39" s="5"/>
      <c r="H39" s="5"/>
      <c r="I39" s="5"/>
    </row>
    <row r="40" spans="1:16" x14ac:dyDescent="0.3">
      <c r="A40" s="2" t="s">
        <v>30</v>
      </c>
      <c r="B40" s="8"/>
      <c r="C40" s="7"/>
      <c r="D40" s="8"/>
      <c r="E40" s="8"/>
      <c r="F40" s="5"/>
      <c r="G40" s="5"/>
    </row>
    <row r="41" spans="1:16" x14ac:dyDescent="0.3">
      <c r="A41" s="5"/>
      <c r="B41" s="9" t="s">
        <v>29</v>
      </c>
      <c r="C41" s="2" t="s">
        <v>28</v>
      </c>
      <c r="D41" s="2" t="s">
        <v>32</v>
      </c>
      <c r="E41" s="8"/>
      <c r="F41" s="5"/>
      <c r="G41" s="5"/>
    </row>
    <row r="42" spans="1:16" x14ac:dyDescent="0.3">
      <c r="A42" s="5"/>
      <c r="B42" s="18" t="s">
        <v>31</v>
      </c>
      <c r="C42" s="7"/>
      <c r="D42" s="8"/>
      <c r="E42" s="8"/>
      <c r="F42" s="5"/>
      <c r="G42" s="5"/>
    </row>
    <row r="43" spans="1:16" x14ac:dyDescent="0.3">
      <c r="A43" s="31"/>
      <c r="B43" s="4"/>
      <c r="C43" s="37"/>
      <c r="D43" s="31"/>
      <c r="F43" s="4"/>
      <c r="G43" s="31"/>
      <c r="H43" s="31"/>
    </row>
    <row r="44" spans="1:16" x14ac:dyDescent="0.3">
      <c r="A44" s="2" t="s">
        <v>49</v>
      </c>
      <c r="B44" s="4"/>
      <c r="C44" s="37"/>
      <c r="D44" s="31"/>
      <c r="F44" s="4"/>
      <c r="G44" s="31"/>
      <c r="H44" s="31"/>
    </row>
    <row r="45" spans="1:16" x14ac:dyDescent="0.3">
      <c r="A45" s="31"/>
      <c r="B45" s="45"/>
      <c r="C45" s="46" t="s">
        <v>123</v>
      </c>
      <c r="D45" s="89">
        <v>110</v>
      </c>
      <c r="E45" s="90"/>
      <c r="F45" s="5" t="s">
        <v>47</v>
      </c>
      <c r="G45" s="103" t="s">
        <v>123</v>
      </c>
      <c r="H45" s="31"/>
    </row>
    <row r="46" spans="1:16" x14ac:dyDescent="0.3">
      <c r="A46" s="31"/>
      <c r="B46" s="4"/>
      <c r="C46" s="37"/>
      <c r="D46" s="31"/>
      <c r="F46" s="4"/>
      <c r="G46" s="31"/>
      <c r="H46" s="31"/>
    </row>
    <row r="47" spans="1:16" ht="13.5" customHeight="1" x14ac:dyDescent="0.3">
      <c r="A47" s="5"/>
      <c r="B47" s="5"/>
      <c r="C47" s="8"/>
      <c r="E47" s="31"/>
      <c r="F47" s="31"/>
      <c r="G47" s="5"/>
      <c r="H47" s="5"/>
      <c r="I47" s="5"/>
    </row>
    <row r="48" spans="1:16" ht="13.5" customHeight="1" x14ac:dyDescent="0.3">
      <c r="A48" s="53" t="s">
        <v>81</v>
      </c>
      <c r="B48" s="2"/>
      <c r="C48" s="83" t="s">
        <v>87</v>
      </c>
      <c r="D48" s="84" t="s">
        <v>88</v>
      </c>
      <c r="E48" s="53" t="s">
        <v>89</v>
      </c>
      <c r="F48" s="63" t="s">
        <v>90</v>
      </c>
      <c r="G48" s="53" t="s">
        <v>91</v>
      </c>
      <c r="H48" s="2" t="s">
        <v>2</v>
      </c>
      <c r="I48" s="5"/>
    </row>
    <row r="49" spans="1:10" ht="13.5" customHeight="1" x14ac:dyDescent="0.3">
      <c r="A49" s="64" t="s">
        <v>82</v>
      </c>
      <c r="B49" s="77">
        <v>1</v>
      </c>
      <c r="C49" s="2"/>
      <c r="D49" s="8"/>
      <c r="E49" s="9"/>
      <c r="F49" s="9"/>
      <c r="G49" s="2"/>
      <c r="I49" s="2"/>
      <c r="J49" s="12"/>
    </row>
    <row r="50" spans="1:10" ht="13.5" customHeight="1" x14ac:dyDescent="0.3">
      <c r="A50" s="64" t="s">
        <v>83</v>
      </c>
      <c r="B50" s="77" t="s">
        <v>125</v>
      </c>
      <c r="C50" s="2"/>
      <c r="D50" s="8"/>
      <c r="E50" s="9"/>
      <c r="F50" s="9"/>
      <c r="G50" s="2"/>
      <c r="H50" s="2"/>
      <c r="I50" s="2"/>
      <c r="J50" s="12"/>
    </row>
    <row r="51" spans="1:10" ht="13.5" customHeight="1" x14ac:dyDescent="0.3">
      <c r="A51" s="65" t="s">
        <v>84</v>
      </c>
      <c r="B51" s="9" t="s">
        <v>106</v>
      </c>
      <c r="D51" s="27"/>
      <c r="E51" s="9"/>
      <c r="F51" s="9"/>
      <c r="G51" s="2"/>
      <c r="H51" s="2"/>
      <c r="I51" s="2"/>
      <c r="J51" s="12"/>
    </row>
    <row r="52" spans="1:10" ht="13.5" customHeight="1" x14ac:dyDescent="0.3">
      <c r="A52" s="65" t="s">
        <v>85</v>
      </c>
      <c r="B52" s="9" t="s">
        <v>127</v>
      </c>
      <c r="C52" s="22"/>
      <c r="D52" s="27"/>
      <c r="E52" s="9"/>
      <c r="F52" s="9"/>
      <c r="G52" s="2"/>
      <c r="H52" s="2"/>
      <c r="I52" s="2"/>
      <c r="J52" s="12"/>
    </row>
    <row r="53" spans="1:10" ht="13.5" customHeight="1" x14ac:dyDescent="0.3">
      <c r="A53" s="66" t="s">
        <v>86</v>
      </c>
      <c r="B53" s="2">
        <v>2022</v>
      </c>
      <c r="C53" s="92"/>
      <c r="D53" s="21"/>
      <c r="G53" s="2"/>
      <c r="H53" s="2"/>
      <c r="I53" s="2"/>
    </row>
    <row r="54" spans="1:10" ht="13.5" customHeight="1" x14ac:dyDescent="0.3">
      <c r="A54" s="2"/>
      <c r="B54" s="2"/>
      <c r="C54" s="93"/>
      <c r="D54" s="28"/>
      <c r="G54" s="4"/>
      <c r="H54" s="31"/>
      <c r="I54" s="31"/>
    </row>
    <row r="55" spans="1:10" ht="13.5" customHeight="1" x14ac:dyDescent="0.3">
      <c r="A55" s="5"/>
      <c r="B55" s="5"/>
      <c r="C55" s="93"/>
      <c r="D55" s="21"/>
      <c r="E55" s="9"/>
      <c r="G55" s="5"/>
      <c r="H55" s="5"/>
      <c r="I55" s="5"/>
    </row>
    <row r="56" spans="1:10" x14ac:dyDescent="0.3">
      <c r="A56" s="5"/>
      <c r="B56" s="5"/>
      <c r="C56" s="108" t="s">
        <v>169</v>
      </c>
      <c r="D56" s="94"/>
      <c r="E56" s="38"/>
      <c r="G56" s="5"/>
      <c r="H56" s="5"/>
      <c r="I56" s="5"/>
    </row>
    <row r="57" spans="1:10" x14ac:dyDescent="0.3">
      <c r="A57" s="5"/>
      <c r="B57" s="5"/>
      <c r="C57" s="22"/>
      <c r="D57" s="69" t="s">
        <v>92</v>
      </c>
      <c r="E57" s="95">
        <f>D22+D24*D45</f>
        <v>6500</v>
      </c>
      <c r="F57" s="96">
        <v>0</v>
      </c>
      <c r="G57" s="17"/>
      <c r="H57" s="31" t="s">
        <v>47</v>
      </c>
      <c r="I57" s="31" t="s">
        <v>129</v>
      </c>
      <c r="J57" s="15"/>
    </row>
    <row r="58" spans="1:10" x14ac:dyDescent="0.3">
      <c r="A58" s="5"/>
      <c r="B58" s="5"/>
      <c r="C58" s="93"/>
      <c r="D58" s="69" t="s">
        <v>93</v>
      </c>
      <c r="E58" s="43">
        <f>D26/100</f>
        <v>0.85</v>
      </c>
      <c r="F58" s="43">
        <f>E58</f>
        <v>0.85</v>
      </c>
      <c r="G58" s="5"/>
      <c r="H58" s="31" t="s">
        <v>42</v>
      </c>
      <c r="I58" s="31" t="s">
        <v>130</v>
      </c>
    </row>
    <row r="59" spans="1:10" x14ac:dyDescent="0.3">
      <c r="A59" s="5"/>
      <c r="B59" s="5"/>
      <c r="C59" s="94"/>
      <c r="D59" s="69" t="s">
        <v>94</v>
      </c>
      <c r="E59" s="97">
        <f>E58*E57</f>
        <v>5525</v>
      </c>
      <c r="F59" s="96">
        <f>F58*F57</f>
        <v>0</v>
      </c>
      <c r="G59" s="96">
        <f>E59-F59</f>
        <v>5525</v>
      </c>
      <c r="H59" s="31" t="s">
        <v>47</v>
      </c>
      <c r="I59" s="31"/>
    </row>
    <row r="60" spans="1:10" x14ac:dyDescent="0.3">
      <c r="A60" s="5"/>
      <c r="B60" s="5"/>
      <c r="C60" s="94"/>
      <c r="D60" s="23"/>
      <c r="H60" s="31"/>
      <c r="I60" s="31"/>
    </row>
    <row r="63" spans="1:10" x14ac:dyDescent="0.3">
      <c r="A63" s="64" t="s">
        <v>96</v>
      </c>
    </row>
  </sheetData>
  <mergeCells count="2">
    <mergeCell ref="D3:E3"/>
    <mergeCell ref="G14:G15"/>
  </mergeCells>
  <dataValidations count="1">
    <dataValidation type="list" allowBlank="1" showInputMessage="1" showErrorMessage="1" sqref="E14" xr:uid="{00000000-0002-0000-0400-000000000000}">
      <formula1>$H$14:$H$16</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9"/>
  <sheetViews>
    <sheetView workbookViewId="0">
      <selection activeCell="F18" sqref="F18"/>
    </sheetView>
  </sheetViews>
  <sheetFormatPr defaultColWidth="9.109375" defaultRowHeight="14.4" x14ac:dyDescent="0.3"/>
  <cols>
    <col min="1" max="1" width="28.5546875" style="78" bestFit="1" customWidth="1"/>
    <col min="2" max="16384" width="9.109375" style="77"/>
  </cols>
  <sheetData>
    <row r="1" spans="1:3" s="81" customFormat="1" x14ac:dyDescent="0.3">
      <c r="A1" s="76" t="s">
        <v>97</v>
      </c>
      <c r="B1" s="85" t="s">
        <v>98</v>
      </c>
      <c r="C1" s="85" t="s">
        <v>99</v>
      </c>
    </row>
    <row r="2" spans="1:3" x14ac:dyDescent="0.3">
      <c r="A2" s="80" t="s">
        <v>74</v>
      </c>
      <c r="B2" s="82">
        <v>1</v>
      </c>
      <c r="C2" s="77">
        <v>1</v>
      </c>
    </row>
    <row r="3" spans="1:3" x14ac:dyDescent="0.3">
      <c r="A3" s="80" t="s">
        <v>75</v>
      </c>
      <c r="B3" s="77">
        <v>4</v>
      </c>
      <c r="C3" s="81">
        <v>3</v>
      </c>
    </row>
    <row r="4" spans="1:3" x14ac:dyDescent="0.3">
      <c r="A4" s="80" t="s">
        <v>76</v>
      </c>
      <c r="B4" s="77">
        <v>4</v>
      </c>
      <c r="C4" s="77">
        <v>4</v>
      </c>
    </row>
    <row r="5" spans="1:3" x14ac:dyDescent="0.3">
      <c r="A5" s="79" t="s">
        <v>78</v>
      </c>
      <c r="B5" s="77">
        <v>9</v>
      </c>
      <c r="C5" s="77">
        <v>7</v>
      </c>
    </row>
    <row r="6" spans="1:3" x14ac:dyDescent="0.3">
      <c r="A6" s="80" t="s">
        <v>79</v>
      </c>
      <c r="B6" s="77">
        <v>9</v>
      </c>
      <c r="C6" s="77">
        <v>8</v>
      </c>
    </row>
    <row r="7" spans="1:3" x14ac:dyDescent="0.3">
      <c r="A7" s="80" t="s">
        <v>80</v>
      </c>
      <c r="B7" s="77">
        <v>9</v>
      </c>
      <c r="C7" s="77">
        <v>9</v>
      </c>
    </row>
    <row r="8" spans="1:3" x14ac:dyDescent="0.3">
      <c r="A8" s="71" t="s">
        <v>81</v>
      </c>
      <c r="B8" s="77">
        <v>46</v>
      </c>
      <c r="C8" s="77">
        <v>1</v>
      </c>
    </row>
    <row r="9" spans="1:3" x14ac:dyDescent="0.3">
      <c r="A9" s="83" t="s">
        <v>87</v>
      </c>
      <c r="B9" s="77">
        <v>46</v>
      </c>
      <c r="C9" s="77">
        <v>3</v>
      </c>
    </row>
    <row r="10" spans="1:3" x14ac:dyDescent="0.3">
      <c r="A10" s="84" t="s">
        <v>88</v>
      </c>
      <c r="B10" s="77">
        <v>46</v>
      </c>
      <c r="C10" s="77">
        <v>4</v>
      </c>
    </row>
    <row r="11" spans="1:3" x14ac:dyDescent="0.3">
      <c r="A11" s="71" t="s">
        <v>89</v>
      </c>
      <c r="B11" s="77">
        <v>46</v>
      </c>
      <c r="C11" s="77">
        <v>5</v>
      </c>
    </row>
    <row r="12" spans="1:3" x14ac:dyDescent="0.3">
      <c r="A12" s="80" t="s">
        <v>90</v>
      </c>
      <c r="B12" s="77">
        <v>46</v>
      </c>
      <c r="C12" s="77">
        <v>6</v>
      </c>
    </row>
    <row r="13" spans="1:3" x14ac:dyDescent="0.3">
      <c r="A13" s="80" t="s">
        <v>91</v>
      </c>
      <c r="B13" s="77">
        <v>46</v>
      </c>
      <c r="C13" s="77">
        <v>7</v>
      </c>
    </row>
    <row r="14" spans="1:3" x14ac:dyDescent="0.3">
      <c r="A14" s="75" t="s">
        <v>82</v>
      </c>
      <c r="B14" s="77">
        <v>47</v>
      </c>
      <c r="C14" s="77">
        <v>1</v>
      </c>
    </row>
    <row r="15" spans="1:3" x14ac:dyDescent="0.3">
      <c r="A15" s="75" t="s">
        <v>83</v>
      </c>
      <c r="B15" s="77">
        <v>48</v>
      </c>
      <c r="C15" s="77">
        <v>1</v>
      </c>
    </row>
    <row r="16" spans="1:3" x14ac:dyDescent="0.3">
      <c r="A16" s="72" t="s">
        <v>84</v>
      </c>
      <c r="B16" s="77">
        <v>49</v>
      </c>
      <c r="C16" s="77">
        <v>1</v>
      </c>
    </row>
    <row r="17" spans="1:3" x14ac:dyDescent="0.3">
      <c r="A17" s="72" t="s">
        <v>85</v>
      </c>
      <c r="B17" s="77">
        <v>50</v>
      </c>
      <c r="C17" s="77">
        <v>1</v>
      </c>
    </row>
    <row r="18" spans="1:3" x14ac:dyDescent="0.3">
      <c r="A18" s="73" t="s">
        <v>86</v>
      </c>
      <c r="B18" s="77">
        <v>51</v>
      </c>
      <c r="C18" s="77">
        <v>1</v>
      </c>
    </row>
    <row r="19" spans="1:3" x14ac:dyDescent="0.3">
      <c r="A19" s="75" t="s">
        <v>96</v>
      </c>
      <c r="B19" s="77">
        <v>60</v>
      </c>
      <c r="C19" s="77">
        <v>1</v>
      </c>
    </row>
  </sheetData>
  <dataConsolidate/>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7030A0"/>
  </sheetPr>
  <dimension ref="A1:P60"/>
  <sheetViews>
    <sheetView tabSelected="1" topLeftCell="A10" zoomScale="80" zoomScaleNormal="80" workbookViewId="0">
      <selection activeCell="A32" sqref="A32:XFD35"/>
    </sheetView>
  </sheetViews>
  <sheetFormatPr defaultColWidth="8.88671875" defaultRowHeight="14.4" x14ac:dyDescent="0.3"/>
  <cols>
    <col min="1" max="1" width="33.109375" style="77" customWidth="1"/>
    <col min="2" max="2" width="33.5546875" style="77" customWidth="1"/>
    <col min="3" max="3" width="64.6640625" style="77" customWidth="1"/>
    <col min="4" max="4" width="22.88671875" style="77" customWidth="1"/>
    <col min="5" max="5" width="21.33203125" style="77" customWidth="1"/>
    <col min="6" max="6" width="19.44140625" style="77" customWidth="1"/>
    <col min="7" max="7" width="38.5546875" style="77" customWidth="1"/>
    <col min="8" max="8" width="39.5546875" style="77" customWidth="1"/>
    <col min="9" max="9" width="25" style="77" customWidth="1"/>
    <col min="10" max="10" width="17.5546875" style="77" customWidth="1"/>
    <col min="11" max="11" width="23.6640625" style="77" customWidth="1"/>
    <col min="12" max="12" width="21.88671875" style="77" customWidth="1"/>
    <col min="13" max="13" width="19" style="77" customWidth="1"/>
    <col min="14" max="14" width="23.5546875" style="77" customWidth="1"/>
    <col min="15" max="15" width="17.5546875" style="77" customWidth="1"/>
    <col min="16" max="16" width="19.5546875" style="77" customWidth="1"/>
    <col min="17" max="17" width="18.44140625" style="77" customWidth="1"/>
    <col min="18" max="16384" width="8.88671875" style="77"/>
  </cols>
  <sheetData>
    <row r="1" spans="1:15" x14ac:dyDescent="0.3">
      <c r="A1" s="53" t="s">
        <v>74</v>
      </c>
      <c r="B1" s="2" t="s">
        <v>133</v>
      </c>
      <c r="C1" s="31"/>
      <c r="E1" s="37"/>
      <c r="F1" s="31"/>
      <c r="G1" s="4"/>
      <c r="H1" s="31"/>
    </row>
    <row r="2" spans="1:15" x14ac:dyDescent="0.3">
      <c r="A2" s="2"/>
      <c r="B2" s="31"/>
      <c r="C2" s="31"/>
      <c r="D2" s="37"/>
      <c r="E2" s="37"/>
      <c r="F2" s="31"/>
      <c r="G2" s="4"/>
      <c r="H2" s="31"/>
    </row>
    <row r="3" spans="1:15" x14ac:dyDescent="0.3">
      <c r="A3" s="2" t="s">
        <v>0</v>
      </c>
      <c r="B3" s="31"/>
      <c r="C3" s="31"/>
      <c r="D3" s="109" t="s">
        <v>38</v>
      </c>
      <c r="E3" s="109"/>
      <c r="F3" s="4"/>
      <c r="G3" s="4"/>
    </row>
    <row r="4" spans="1:15" x14ac:dyDescent="0.3">
      <c r="A4" s="2"/>
      <c r="B4" s="78"/>
      <c r="C4" s="55" t="s">
        <v>75</v>
      </c>
      <c r="D4" s="56" t="s">
        <v>76</v>
      </c>
      <c r="F4" s="4"/>
      <c r="G4" s="57"/>
      <c r="H4" s="78"/>
    </row>
    <row r="5" spans="1:15" x14ac:dyDescent="0.3">
      <c r="A5" s="2"/>
      <c r="B5" s="58"/>
      <c r="C5" s="59" t="s">
        <v>102</v>
      </c>
      <c r="D5" s="60">
        <v>2018</v>
      </c>
      <c r="E5" s="98"/>
      <c r="F5" s="4"/>
      <c r="G5" s="57"/>
      <c r="H5" s="78"/>
    </row>
    <row r="6" spans="1:15" x14ac:dyDescent="0.3">
      <c r="A6" s="2"/>
      <c r="B6" s="58"/>
      <c r="C6" s="59" t="s">
        <v>103</v>
      </c>
      <c r="D6" s="60">
        <v>60</v>
      </c>
      <c r="E6" s="98"/>
      <c r="F6" s="4"/>
      <c r="G6" s="57"/>
      <c r="H6" s="78"/>
    </row>
    <row r="7" spans="1:15" x14ac:dyDescent="0.3">
      <c r="A7" s="2"/>
      <c r="B7" s="58"/>
      <c r="C7" s="59" t="s">
        <v>77</v>
      </c>
      <c r="D7" s="60">
        <v>12</v>
      </c>
      <c r="E7" s="98"/>
      <c r="F7" s="4"/>
      <c r="G7" s="57"/>
      <c r="H7" s="78"/>
    </row>
    <row r="8" spans="1:15" x14ac:dyDescent="0.3">
      <c r="C8" s="78"/>
    </row>
    <row r="9" spans="1:15" x14ac:dyDescent="0.3">
      <c r="A9" s="2"/>
      <c r="B9" s="2" t="s">
        <v>37</v>
      </c>
      <c r="C9" s="77" t="s">
        <v>33</v>
      </c>
      <c r="D9" s="2" t="s">
        <v>107</v>
      </c>
      <c r="E9" s="14" t="s">
        <v>3</v>
      </c>
      <c r="F9" s="13" t="s">
        <v>2</v>
      </c>
      <c r="G9" s="79" t="s">
        <v>78</v>
      </c>
      <c r="H9" s="80" t="s">
        <v>79</v>
      </c>
      <c r="I9" s="63" t="s">
        <v>80</v>
      </c>
      <c r="J9" s="2" t="s">
        <v>15</v>
      </c>
      <c r="K9" s="14" t="s">
        <v>26</v>
      </c>
      <c r="L9" s="29" t="s">
        <v>8</v>
      </c>
      <c r="M9" s="14" t="s">
        <v>21</v>
      </c>
      <c r="N9" s="14" t="s">
        <v>20</v>
      </c>
      <c r="O9" s="14" t="s">
        <v>22</v>
      </c>
    </row>
    <row r="10" spans="1:15" x14ac:dyDescent="0.3">
      <c r="A10" s="2"/>
      <c r="C10" s="19" t="s">
        <v>7</v>
      </c>
      <c r="D10" s="14"/>
      <c r="E10" s="14"/>
      <c r="F10" s="18" t="s">
        <v>6</v>
      </c>
      <c r="G10" s="16" t="s">
        <v>5</v>
      </c>
      <c r="H10" s="16" t="s">
        <v>41</v>
      </c>
      <c r="I10" s="16" t="s">
        <v>41</v>
      </c>
      <c r="J10" s="16" t="s">
        <v>16</v>
      </c>
      <c r="K10" s="16" t="s">
        <v>9</v>
      </c>
      <c r="L10" s="16" t="s">
        <v>18</v>
      </c>
      <c r="M10" s="16" t="s">
        <v>24</v>
      </c>
      <c r="N10" s="16" t="s">
        <v>23</v>
      </c>
      <c r="O10" s="16" t="s">
        <v>25</v>
      </c>
    </row>
    <row r="11" spans="1:15" x14ac:dyDescent="0.3">
      <c r="A11" s="2" t="s">
        <v>134</v>
      </c>
      <c r="B11" s="31"/>
      <c r="C11" s="31"/>
      <c r="F11" s="37"/>
      <c r="G11" s="31"/>
      <c r="H11" s="31"/>
      <c r="I11" s="31"/>
      <c r="J11" s="2"/>
      <c r="K11" s="31"/>
    </row>
    <row r="12" spans="1:15" x14ac:dyDescent="0.3">
      <c r="A12" s="49" t="s">
        <v>135</v>
      </c>
      <c r="B12" s="99"/>
      <c r="C12" s="99"/>
    </row>
    <row r="13" spans="1:15" x14ac:dyDescent="0.3">
      <c r="A13" s="2"/>
      <c r="B13" s="31" t="s">
        <v>35</v>
      </c>
      <c r="C13" s="31"/>
      <c r="D13" s="31"/>
      <c r="E13" s="31"/>
      <c r="F13" s="37"/>
      <c r="G13" s="31"/>
      <c r="H13" s="31"/>
      <c r="I13" s="31"/>
      <c r="J13" s="2"/>
      <c r="K13" s="31"/>
    </row>
    <row r="14" spans="1:15" x14ac:dyDescent="0.3">
      <c r="A14" s="2"/>
      <c r="B14" s="31"/>
      <c r="C14" s="31"/>
      <c r="D14" s="31"/>
      <c r="E14" s="31"/>
      <c r="F14" s="37"/>
      <c r="G14" s="31"/>
      <c r="H14" s="31"/>
      <c r="I14" s="31"/>
      <c r="J14" s="2"/>
      <c r="K14" s="31"/>
    </row>
    <row r="15" spans="1:15" x14ac:dyDescent="0.3">
      <c r="A15" s="31"/>
      <c r="B15" s="31" t="s">
        <v>36</v>
      </c>
      <c r="C15" s="31"/>
      <c r="D15" s="87"/>
      <c r="E15" s="87"/>
      <c r="F15" s="5"/>
      <c r="G15" s="31"/>
      <c r="H15" s="37"/>
      <c r="I15" s="37"/>
      <c r="J15" s="31"/>
      <c r="K15" s="39"/>
      <c r="L15" s="39"/>
      <c r="M15" s="39"/>
      <c r="N15" s="39"/>
      <c r="O15" s="39"/>
    </row>
    <row r="16" spans="1:15" x14ac:dyDescent="0.3">
      <c r="A16" s="31"/>
      <c r="B16" s="37">
        <v>1</v>
      </c>
      <c r="C16" s="35" t="s">
        <v>136</v>
      </c>
      <c r="D16" s="38" t="s">
        <v>137</v>
      </c>
      <c r="E16" s="38" t="s">
        <v>138</v>
      </c>
      <c r="F16" s="36" t="s">
        <v>139</v>
      </c>
      <c r="G16" s="111" t="s">
        <v>140</v>
      </c>
      <c r="H16" s="37" t="s">
        <v>141</v>
      </c>
      <c r="I16" s="37">
        <v>0</v>
      </c>
      <c r="J16" s="31" t="s">
        <v>142</v>
      </c>
      <c r="K16" s="40"/>
      <c r="L16" s="41" t="s">
        <v>143</v>
      </c>
      <c r="M16" s="39"/>
      <c r="N16" s="39"/>
      <c r="O16" s="39"/>
    </row>
    <row r="17" spans="1:15" x14ac:dyDescent="0.3">
      <c r="A17" s="31"/>
      <c r="B17" s="37"/>
      <c r="C17" s="35"/>
      <c r="D17" s="38"/>
      <c r="E17" s="38"/>
      <c r="F17" s="36"/>
      <c r="G17" s="111"/>
      <c r="H17" s="37" t="s">
        <v>144</v>
      </c>
      <c r="I17" s="37">
        <v>30</v>
      </c>
      <c r="J17" s="31"/>
      <c r="K17" s="40"/>
      <c r="L17" s="41"/>
      <c r="M17" s="39"/>
      <c r="N17" s="39"/>
      <c r="O17" s="39"/>
    </row>
    <row r="18" spans="1:15" x14ac:dyDescent="0.3">
      <c r="A18" s="31"/>
      <c r="B18" s="37"/>
      <c r="C18" s="35"/>
      <c r="D18" s="38"/>
      <c r="E18" s="38"/>
      <c r="F18" s="36"/>
      <c r="G18" s="111"/>
      <c r="H18" s="37" t="s">
        <v>138</v>
      </c>
      <c r="I18" s="37">
        <v>300</v>
      </c>
      <c r="J18" s="31"/>
      <c r="K18" s="40"/>
      <c r="L18" s="41"/>
      <c r="M18" s="39"/>
      <c r="N18" s="39"/>
      <c r="O18" s="39"/>
    </row>
    <row r="19" spans="1:15" x14ac:dyDescent="0.3">
      <c r="A19" s="31"/>
      <c r="B19" s="37"/>
      <c r="C19" s="35"/>
      <c r="D19" s="38"/>
      <c r="E19" s="38"/>
      <c r="F19" s="36"/>
      <c r="G19" s="111"/>
      <c r="H19" s="37" t="s">
        <v>137</v>
      </c>
      <c r="I19" s="37">
        <v>1000</v>
      </c>
      <c r="J19" s="31"/>
      <c r="K19" s="40"/>
      <c r="L19" s="41"/>
      <c r="M19" s="39"/>
      <c r="N19" s="39"/>
      <c r="O19" s="39"/>
    </row>
    <row r="20" spans="1:15" x14ac:dyDescent="0.3">
      <c r="A20" s="31"/>
      <c r="B20" s="37"/>
      <c r="C20" s="35"/>
      <c r="D20" s="38"/>
      <c r="E20" s="38"/>
      <c r="F20" s="36"/>
      <c r="G20" s="111"/>
      <c r="H20" s="37" t="s">
        <v>145</v>
      </c>
      <c r="I20" s="37">
        <v>10000</v>
      </c>
      <c r="J20" s="31"/>
      <c r="K20" s="40"/>
      <c r="L20" s="41"/>
      <c r="M20" s="39"/>
      <c r="N20" s="39"/>
      <c r="O20" s="39"/>
    </row>
    <row r="21" spans="1:15" x14ac:dyDescent="0.3">
      <c r="A21" s="31"/>
      <c r="B21" s="37"/>
      <c r="C21" s="35"/>
      <c r="D21" s="38"/>
      <c r="E21" s="38"/>
      <c r="F21" s="36"/>
      <c r="G21" s="111"/>
      <c r="H21" s="37" t="s">
        <v>146</v>
      </c>
      <c r="I21" s="37">
        <v>30000</v>
      </c>
      <c r="J21" s="31"/>
      <c r="K21" s="40"/>
      <c r="L21" s="41"/>
      <c r="M21" s="39"/>
      <c r="N21" s="39"/>
      <c r="O21" s="39"/>
    </row>
    <row r="22" spans="1:15" x14ac:dyDescent="0.3">
      <c r="A22" s="31"/>
      <c r="B22" s="37"/>
      <c r="C22" s="35"/>
      <c r="D22" s="38"/>
      <c r="E22" s="38"/>
      <c r="F22" s="36"/>
      <c r="G22" s="111"/>
      <c r="H22" s="37" t="s">
        <v>147</v>
      </c>
      <c r="I22" s="37">
        <v>100000</v>
      </c>
      <c r="J22" s="31"/>
      <c r="K22" s="40"/>
      <c r="L22" s="41"/>
      <c r="M22" s="39"/>
      <c r="N22" s="39"/>
      <c r="O22" s="39"/>
    </row>
    <row r="23" spans="1:15" x14ac:dyDescent="0.3">
      <c r="A23" s="31"/>
      <c r="B23" s="37">
        <v>2</v>
      </c>
      <c r="C23" s="33" t="s">
        <v>148</v>
      </c>
      <c r="D23" s="37" t="s">
        <v>149</v>
      </c>
      <c r="E23" s="37" t="s">
        <v>150</v>
      </c>
      <c r="F23" s="5" t="s">
        <v>42</v>
      </c>
      <c r="G23" s="111" t="s">
        <v>130</v>
      </c>
      <c r="H23" s="37" t="s">
        <v>151</v>
      </c>
      <c r="I23" s="37">
        <v>0</v>
      </c>
      <c r="J23" s="31" t="s">
        <v>152</v>
      </c>
      <c r="K23" s="39"/>
      <c r="L23" s="41" t="s">
        <v>153</v>
      </c>
      <c r="M23" s="39"/>
      <c r="N23" s="39"/>
      <c r="O23" s="39"/>
    </row>
    <row r="24" spans="1:15" x14ac:dyDescent="0.3">
      <c r="A24" s="31"/>
      <c r="B24" s="37"/>
      <c r="C24" s="33"/>
      <c r="D24" s="37"/>
      <c r="E24" s="37"/>
      <c r="F24" s="5"/>
      <c r="G24" s="111"/>
      <c r="H24" s="37" t="s">
        <v>154</v>
      </c>
      <c r="I24" s="37">
        <v>0</v>
      </c>
      <c r="J24" s="31"/>
      <c r="K24" s="39"/>
      <c r="L24" s="41"/>
      <c r="M24" s="39"/>
      <c r="N24" s="39"/>
      <c r="O24" s="39"/>
    </row>
    <row r="25" spans="1:15" x14ac:dyDescent="0.3">
      <c r="A25" s="31"/>
      <c r="B25" s="37"/>
      <c r="C25" s="33"/>
      <c r="D25" s="37"/>
      <c r="E25" s="37"/>
      <c r="F25" s="5"/>
      <c r="G25" s="111"/>
      <c r="H25" s="37" t="s">
        <v>155</v>
      </c>
      <c r="I25" s="37">
        <v>0</v>
      </c>
      <c r="J25" s="31"/>
      <c r="K25" s="39"/>
      <c r="L25" s="41"/>
      <c r="M25" s="39"/>
      <c r="N25" s="39"/>
      <c r="O25" s="39"/>
    </row>
    <row r="26" spans="1:15" x14ac:dyDescent="0.3">
      <c r="A26" s="31"/>
      <c r="B26" s="37"/>
      <c r="C26" s="33"/>
      <c r="D26" s="37"/>
      <c r="E26" s="37"/>
      <c r="F26" s="5"/>
      <c r="G26" s="111"/>
      <c r="H26" s="37" t="s">
        <v>150</v>
      </c>
      <c r="I26" s="37">
        <v>0.03</v>
      </c>
      <c r="J26" s="31"/>
      <c r="K26" s="39"/>
      <c r="L26" s="41"/>
      <c r="M26" s="39"/>
      <c r="N26" s="39"/>
      <c r="O26" s="39"/>
    </row>
    <row r="27" spans="1:15" x14ac:dyDescent="0.3">
      <c r="A27" s="31"/>
      <c r="B27" s="37"/>
      <c r="C27" s="33"/>
      <c r="D27" s="37"/>
      <c r="E27" s="37"/>
      <c r="F27" s="5"/>
      <c r="G27" s="111"/>
      <c r="H27" s="37" t="s">
        <v>149</v>
      </c>
      <c r="I27" s="37">
        <v>0.1</v>
      </c>
      <c r="J27" s="31"/>
      <c r="K27" s="39"/>
      <c r="L27" s="41"/>
      <c r="M27" s="39"/>
      <c r="N27" s="39"/>
      <c r="O27" s="39"/>
    </row>
    <row r="28" spans="1:15" x14ac:dyDescent="0.3">
      <c r="A28" s="31"/>
      <c r="B28" s="37"/>
      <c r="C28" s="33"/>
      <c r="D28" s="37"/>
      <c r="E28" s="37"/>
      <c r="F28" s="5"/>
      <c r="G28" s="111"/>
      <c r="H28" s="37" t="s">
        <v>156</v>
      </c>
      <c r="I28" s="37">
        <v>0.3</v>
      </c>
      <c r="J28" s="31"/>
      <c r="K28" s="39"/>
      <c r="L28" s="41"/>
      <c r="M28" s="39"/>
      <c r="N28" s="39"/>
      <c r="O28" s="39"/>
    </row>
    <row r="29" spans="1:15" x14ac:dyDescent="0.3">
      <c r="A29" s="31"/>
      <c r="B29" s="37"/>
      <c r="C29" s="33"/>
      <c r="D29" s="37"/>
      <c r="E29" s="37"/>
      <c r="F29" s="5"/>
      <c r="G29" s="111"/>
      <c r="H29" s="37" t="s">
        <v>114</v>
      </c>
      <c r="I29" s="37">
        <v>0.97</v>
      </c>
      <c r="J29" s="31"/>
      <c r="K29" s="39"/>
      <c r="L29" s="41"/>
      <c r="M29" s="39"/>
      <c r="N29" s="39"/>
      <c r="O29" s="39"/>
    </row>
    <row r="30" spans="1:15" x14ac:dyDescent="0.3">
      <c r="A30" s="31"/>
      <c r="B30" s="37">
        <v>3</v>
      </c>
      <c r="C30" s="33" t="s">
        <v>157</v>
      </c>
      <c r="D30" s="37" t="s">
        <v>43</v>
      </c>
      <c r="E30" s="37" t="s">
        <v>43</v>
      </c>
      <c r="F30" s="5"/>
      <c r="G30" s="31" t="s">
        <v>158</v>
      </c>
      <c r="H30" s="37"/>
      <c r="I30" s="37"/>
      <c r="J30" s="31" t="s">
        <v>115</v>
      </c>
      <c r="K30" s="39"/>
      <c r="L30" s="39" t="s">
        <v>159</v>
      </c>
      <c r="M30" s="39"/>
      <c r="N30" s="39"/>
      <c r="O30" s="39"/>
    </row>
    <row r="31" spans="1:15" x14ac:dyDescent="0.3">
      <c r="A31" s="31"/>
      <c r="B31" s="31"/>
      <c r="C31" s="31"/>
      <c r="D31" s="37"/>
      <c r="E31" s="37"/>
      <c r="F31" s="5"/>
      <c r="H31" s="37"/>
      <c r="I31" s="37"/>
    </row>
    <row r="32" spans="1:15" x14ac:dyDescent="0.3">
      <c r="A32" s="2"/>
      <c r="B32" s="16"/>
    </row>
    <row r="33" spans="1:16" x14ac:dyDescent="0.3">
      <c r="A33" s="2"/>
      <c r="O33" s="11"/>
      <c r="P33" s="11"/>
    </row>
    <row r="34" spans="1:16" x14ac:dyDescent="0.3">
      <c r="A34" s="2" t="s">
        <v>4</v>
      </c>
      <c r="B34" s="31"/>
      <c r="C34" s="31"/>
      <c r="D34" s="37"/>
      <c r="E34" s="37"/>
      <c r="F34" s="31"/>
      <c r="H34" s="31"/>
      <c r="I34" s="31"/>
      <c r="O34" s="31"/>
      <c r="P34" s="11"/>
    </row>
    <row r="35" spans="1:16" x14ac:dyDescent="0.3">
      <c r="A35" s="2"/>
      <c r="B35" s="2" t="s">
        <v>1</v>
      </c>
      <c r="C35" s="13" t="s">
        <v>34</v>
      </c>
      <c r="D35" s="98" t="s">
        <v>38</v>
      </c>
      <c r="E35" s="98"/>
      <c r="F35" s="13" t="s">
        <v>2</v>
      </c>
      <c r="G35" s="13" t="s">
        <v>10</v>
      </c>
      <c r="H35" s="14" t="s">
        <v>40</v>
      </c>
      <c r="I35" s="14" t="s">
        <v>39</v>
      </c>
      <c r="J35" s="2" t="s">
        <v>15</v>
      </c>
      <c r="K35" s="14" t="s">
        <v>8</v>
      </c>
      <c r="L35" s="14" t="s">
        <v>20</v>
      </c>
      <c r="M35" s="14" t="s">
        <v>22</v>
      </c>
      <c r="N35" s="14" t="s">
        <v>21</v>
      </c>
      <c r="O35" s="14"/>
      <c r="P35" s="14"/>
    </row>
    <row r="36" spans="1:16" x14ac:dyDescent="0.3">
      <c r="A36" s="2"/>
      <c r="B36" s="18" t="s">
        <v>14</v>
      </c>
      <c r="C36" s="18" t="s">
        <v>27</v>
      </c>
      <c r="D36" s="14"/>
      <c r="E36" s="14"/>
      <c r="F36" s="18" t="s">
        <v>6</v>
      </c>
      <c r="G36" s="16" t="s">
        <v>17</v>
      </c>
      <c r="H36" s="16" t="s">
        <v>41</v>
      </c>
      <c r="I36" s="16" t="s">
        <v>41</v>
      </c>
      <c r="J36" s="18" t="s">
        <v>16</v>
      </c>
      <c r="K36" s="16" t="s">
        <v>19</v>
      </c>
      <c r="L36" s="16" t="s">
        <v>11</v>
      </c>
      <c r="M36" s="16" t="s">
        <v>13</v>
      </c>
      <c r="N36" s="16" t="s">
        <v>12</v>
      </c>
      <c r="O36" s="20"/>
      <c r="P36" s="20"/>
    </row>
    <row r="37" spans="1:16" x14ac:dyDescent="0.3">
      <c r="A37" s="2"/>
      <c r="B37" s="18"/>
      <c r="C37" s="18"/>
      <c r="D37" s="14"/>
      <c r="E37" s="14"/>
      <c r="F37" s="18"/>
      <c r="G37" s="16"/>
      <c r="H37" s="16"/>
      <c r="I37" s="16"/>
      <c r="J37" s="18"/>
      <c r="K37" s="16"/>
      <c r="L37" s="16"/>
      <c r="M37" s="16"/>
      <c r="N37" s="16"/>
      <c r="O37" s="20"/>
      <c r="P37" s="20"/>
    </row>
    <row r="38" spans="1:16" x14ac:dyDescent="0.3">
      <c r="A38" s="5"/>
      <c r="B38" s="8"/>
      <c r="C38" s="7"/>
      <c r="D38" s="8"/>
      <c r="E38" s="8"/>
      <c r="F38" s="5"/>
      <c r="G38" s="5"/>
      <c r="H38" s="5"/>
      <c r="I38" s="5"/>
    </row>
    <row r="39" spans="1:16" x14ac:dyDescent="0.3">
      <c r="A39" s="2" t="s">
        <v>30</v>
      </c>
      <c r="B39" s="8"/>
      <c r="C39" s="7"/>
      <c r="D39" s="8"/>
      <c r="E39" s="8"/>
      <c r="F39" s="5"/>
      <c r="G39" s="5"/>
    </row>
    <row r="40" spans="1:16" x14ac:dyDescent="0.3">
      <c r="A40" s="5"/>
      <c r="B40" s="9" t="s">
        <v>29</v>
      </c>
      <c r="C40" s="2" t="s">
        <v>28</v>
      </c>
      <c r="D40" s="2" t="s">
        <v>32</v>
      </c>
      <c r="E40" s="8"/>
      <c r="F40" s="5"/>
      <c r="G40" s="5"/>
    </row>
    <row r="41" spans="1:16" x14ac:dyDescent="0.3">
      <c r="A41" s="5"/>
      <c r="B41" s="18" t="s">
        <v>31</v>
      </c>
      <c r="C41" s="7"/>
      <c r="D41" s="8"/>
      <c r="E41" s="8"/>
      <c r="F41" s="5"/>
      <c r="G41" s="5"/>
    </row>
    <row r="42" spans="1:16" x14ac:dyDescent="0.3">
      <c r="A42" s="31"/>
      <c r="B42" s="4"/>
      <c r="C42" s="37"/>
      <c r="D42" s="31"/>
      <c r="F42" s="4"/>
      <c r="G42" s="31"/>
      <c r="H42" s="31"/>
    </row>
    <row r="43" spans="1:16" x14ac:dyDescent="0.3">
      <c r="A43" s="31"/>
      <c r="B43" s="4"/>
      <c r="C43" s="37"/>
      <c r="D43" s="31"/>
      <c r="F43" s="4"/>
      <c r="G43" s="31"/>
      <c r="H43" s="31"/>
    </row>
    <row r="44" spans="1:16" ht="13.5" customHeight="1" x14ac:dyDescent="0.3">
      <c r="A44" s="5"/>
      <c r="B44" s="8"/>
      <c r="D44" s="31"/>
      <c r="E44" s="31"/>
      <c r="F44" s="5"/>
      <c r="G44" s="5"/>
      <c r="H44" s="5"/>
    </row>
    <row r="45" spans="1:16" ht="13.5" customHeight="1" x14ac:dyDescent="0.3">
      <c r="A45" s="2" t="s">
        <v>124</v>
      </c>
      <c r="B45" s="2"/>
      <c r="C45" s="8"/>
      <c r="D45" s="91"/>
      <c r="E45" s="31"/>
      <c r="F45" s="31"/>
      <c r="G45" s="5"/>
      <c r="H45" s="5"/>
      <c r="I45" s="5"/>
    </row>
    <row r="46" spans="1:16" ht="13.5" customHeight="1" x14ac:dyDescent="0.3">
      <c r="A46" s="53" t="s">
        <v>81</v>
      </c>
      <c r="B46" s="5"/>
      <c r="C46" s="83" t="s">
        <v>87</v>
      </c>
      <c r="D46" s="84" t="s">
        <v>88</v>
      </c>
      <c r="E46" s="53" t="s">
        <v>89</v>
      </c>
      <c r="F46" s="63" t="s">
        <v>90</v>
      </c>
      <c r="G46" s="53" t="s">
        <v>91</v>
      </c>
      <c r="H46" s="2" t="s">
        <v>2</v>
      </c>
      <c r="I46" s="2"/>
      <c r="J46" s="12"/>
    </row>
    <row r="47" spans="1:16" ht="13.5" customHeight="1" x14ac:dyDescent="0.3">
      <c r="A47" s="64" t="s">
        <v>82</v>
      </c>
      <c r="B47" s="5">
        <v>1</v>
      </c>
      <c r="C47" s="2"/>
      <c r="D47" s="8"/>
      <c r="E47" s="9"/>
      <c r="F47" s="9"/>
      <c r="G47" s="2"/>
      <c r="H47" s="2"/>
      <c r="I47" s="2"/>
      <c r="J47" s="12"/>
    </row>
    <row r="48" spans="1:16" ht="13.5" customHeight="1" x14ac:dyDescent="0.3">
      <c r="A48" s="64" t="s">
        <v>83</v>
      </c>
      <c r="B48" s="5" t="s">
        <v>160</v>
      </c>
      <c r="D48" s="27"/>
      <c r="E48" s="9"/>
      <c r="F48" s="9"/>
      <c r="G48" s="2"/>
      <c r="H48" s="2"/>
      <c r="I48" s="2"/>
      <c r="J48" s="12"/>
    </row>
    <row r="49" spans="1:10" ht="13.5" customHeight="1" x14ac:dyDescent="0.3">
      <c r="A49" s="65" t="s">
        <v>84</v>
      </c>
      <c r="B49" s="9" t="s">
        <v>161</v>
      </c>
      <c r="C49" s="22"/>
      <c r="D49" s="27"/>
      <c r="E49" s="9"/>
      <c r="F49" s="9"/>
      <c r="G49" s="2"/>
      <c r="H49" s="2"/>
      <c r="I49" s="2"/>
      <c r="J49" s="12"/>
    </row>
    <row r="50" spans="1:10" ht="13.5" customHeight="1" x14ac:dyDescent="0.3">
      <c r="A50" s="65" t="s">
        <v>85</v>
      </c>
      <c r="B50" s="9" t="s">
        <v>161</v>
      </c>
      <c r="C50" s="92"/>
      <c r="D50" s="21" t="s">
        <v>126</v>
      </c>
      <c r="E50" s="9"/>
      <c r="F50" s="9"/>
      <c r="G50" s="2"/>
      <c r="H50" s="2"/>
      <c r="I50" s="2"/>
    </row>
    <row r="51" spans="1:10" ht="13.5" customHeight="1" x14ac:dyDescent="0.3">
      <c r="A51" s="66" t="s">
        <v>86</v>
      </c>
      <c r="B51" s="5">
        <v>2022</v>
      </c>
      <c r="C51" s="93"/>
      <c r="D51" s="28" t="s">
        <v>128</v>
      </c>
      <c r="G51" s="4"/>
      <c r="H51" s="31"/>
      <c r="I51" s="31"/>
    </row>
    <row r="52" spans="1:10" ht="13.5" customHeight="1" x14ac:dyDescent="0.3">
      <c r="A52" s="5"/>
      <c r="B52" s="5"/>
      <c r="C52" s="93"/>
      <c r="D52" s="21"/>
      <c r="E52" s="9"/>
      <c r="G52" s="5"/>
      <c r="H52" s="5"/>
      <c r="I52" s="5"/>
    </row>
    <row r="53" spans="1:10" x14ac:dyDescent="0.3">
      <c r="A53" s="5"/>
      <c r="B53" s="5"/>
      <c r="C53" s="22" t="s">
        <v>133</v>
      </c>
      <c r="D53" s="94"/>
      <c r="E53" s="38"/>
      <c r="G53" s="5"/>
      <c r="H53" s="5"/>
      <c r="I53" s="5"/>
    </row>
    <row r="54" spans="1:10" x14ac:dyDescent="0.3">
      <c r="A54" s="5"/>
      <c r="B54" s="5"/>
      <c r="C54" s="22"/>
      <c r="D54" s="69" t="s">
        <v>92</v>
      </c>
      <c r="E54" s="95">
        <f>VLOOKUP(D16,$H$16:$I$22,2,FALSE)</f>
        <v>1000</v>
      </c>
      <c r="F54" s="95">
        <f>VLOOKUP(E16,$H$16:$I$22,2,FALSE)</f>
        <v>300</v>
      </c>
      <c r="G54" s="17"/>
      <c r="H54" s="31" t="s">
        <v>139</v>
      </c>
      <c r="I54" s="31" t="s">
        <v>129</v>
      </c>
      <c r="J54" s="15"/>
    </row>
    <row r="55" spans="1:10" x14ac:dyDescent="0.3">
      <c r="A55" s="5"/>
      <c r="B55" s="5"/>
      <c r="C55" s="93"/>
      <c r="D55" s="69" t="s">
        <v>93</v>
      </c>
      <c r="E55" s="43">
        <f>VLOOKUP(D23,$H$23:$I$29,2,FALSE)</f>
        <v>0.1</v>
      </c>
      <c r="F55" s="43">
        <f>VLOOKUP(E23,$H$23:$I$29,2,FALSE)</f>
        <v>0.03</v>
      </c>
      <c r="G55" s="5"/>
      <c r="H55" s="31" t="s">
        <v>42</v>
      </c>
      <c r="I55" s="31" t="s">
        <v>130</v>
      </c>
    </row>
    <row r="56" spans="1:10" x14ac:dyDescent="0.3">
      <c r="A56" s="5"/>
      <c r="B56" s="5"/>
      <c r="C56" s="94"/>
      <c r="D56" s="69" t="s">
        <v>94</v>
      </c>
      <c r="E56" s="100">
        <f>E55*E54</f>
        <v>100</v>
      </c>
      <c r="F56" s="100">
        <f>F55*F54</f>
        <v>9</v>
      </c>
      <c r="G56" s="101">
        <f>E56-F56</f>
        <v>91</v>
      </c>
      <c r="H56" s="31" t="s">
        <v>139</v>
      </c>
      <c r="I56" s="31"/>
    </row>
    <row r="57" spans="1:10" x14ac:dyDescent="0.3">
      <c r="A57" s="5"/>
      <c r="B57" s="5"/>
      <c r="C57" s="94"/>
      <c r="D57" s="23"/>
      <c r="E57" s="91"/>
      <c r="F57" s="91"/>
      <c r="G57" s="5"/>
      <c r="H57" s="5"/>
      <c r="I57" s="5"/>
    </row>
    <row r="60" spans="1:10" x14ac:dyDescent="0.3">
      <c r="A60" s="64" t="s">
        <v>96</v>
      </c>
      <c r="B60" s="64"/>
    </row>
  </sheetData>
  <mergeCells count="3">
    <mergeCell ref="D3:E3"/>
    <mergeCell ref="G16:G22"/>
    <mergeCell ref="G23:G29"/>
  </mergeCells>
  <dataValidations count="2">
    <dataValidation type="list" allowBlank="1" showInputMessage="1" showErrorMessage="1" sqref="D23:E23" xr:uid="{00000000-0002-0000-0600-000000000000}">
      <formula1>$H$23:$H$29</formula1>
    </dataValidation>
    <dataValidation type="list" allowBlank="1" showInputMessage="1" showErrorMessage="1" sqref="D16:E16" xr:uid="{00000000-0002-0000-0600-000001000000}">
      <formula1>$H$16:$H$22</formula1>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3210dbc9-3cef-43dc-8462-745f75f011c5" ContentTypeId="0x0101003CCBF6AFE12EA94591850FFCC53785EC"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KeywordTaxHTField xmlns="b1e3aa06-bd30-4c2f-b36c-c1a3e161c657">
      <Terms xmlns="http://schemas.microsoft.com/office/infopath/2007/PartnerControls"/>
    </TaxKeywordTaxHTField>
    <TaxCatchAll xmlns="b1e3aa06-bd30-4c2f-b36c-c1a3e161c657">
      <Value>94</Value>
    </TaxCatchAll>
    <c6b07f16e7bd43ccb47e81cbda6e3b42 xmlns="b1e3aa06-bd30-4c2f-b36c-c1a3e161c657">
      <Terms xmlns="http://schemas.microsoft.com/office/infopath/2007/PartnerControls">
        <TermInfo xmlns="http://schemas.microsoft.com/office/infopath/2007/PartnerControls">
          <TermName xmlns="http://schemas.microsoft.com/office/infopath/2007/PartnerControls">TVA</TermName>
          <TermId xmlns="http://schemas.microsoft.com/office/infopath/2007/PartnerControls">29b0a8cf-241d-4b95-909c-c9cb193dc995</TermId>
        </TermInfo>
      </Terms>
    </c6b07f16e7bd43ccb47e81cbda6e3b42>
  </documentManagement>
</p:properties>
</file>

<file path=customXml/item4.xml><?xml version="1.0" encoding="utf-8"?>
<ct:contentTypeSchema xmlns:ct="http://schemas.microsoft.com/office/2006/metadata/contentType" xmlns:ma="http://schemas.microsoft.com/office/2006/metadata/properties/metaAttributes" ct:_="" ma:_="" ma:contentTypeName="Copperleaf Document" ma:contentTypeID="0x0101003CCBF6AFE12EA94591850FFCC53785EC00FEEC8EE92D95D34CBAD0183C1B21C34E" ma:contentTypeVersion="0" ma:contentTypeDescription="A base level Copperleaf document.  It can be used for any document where more specific content types are not relevant.  It also serves as the foundation for all derived Copperleaf documents." ma:contentTypeScope="" ma:versionID="fc069df660771e3494ddc961adf0631f">
  <xsd:schema xmlns:xsd="http://www.w3.org/2001/XMLSchema" xmlns:xs="http://www.w3.org/2001/XMLSchema" xmlns:p="http://schemas.microsoft.com/office/2006/metadata/properties" xmlns:ns2="b1e3aa06-bd30-4c2f-b36c-c1a3e161c657" targetNamespace="http://schemas.microsoft.com/office/2006/metadata/properties" ma:root="true" ma:fieldsID="67665596f1db1dfaf35d34c43427f006" ns2:_="">
    <xsd:import namespace="b1e3aa06-bd30-4c2f-b36c-c1a3e161c657"/>
    <xsd:element name="properties">
      <xsd:complexType>
        <xsd:sequence>
          <xsd:element name="documentManagement">
            <xsd:complexType>
              <xsd:all>
                <xsd:element ref="ns2:TaxKeywordTaxHTField" minOccurs="0"/>
                <xsd:element ref="ns2:TaxCatchAll" minOccurs="0"/>
                <xsd:element ref="ns2:TaxCatchAllLabel" minOccurs="0"/>
                <xsd:element ref="ns2:c6b07f16e7bd43ccb47e81cbda6e3b42"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e3aa06-bd30-4c2f-b36c-c1a3e161c657" elementFormDefault="qualified">
    <xsd:import namespace="http://schemas.microsoft.com/office/2006/documentManagement/types"/>
    <xsd:import namespace="http://schemas.microsoft.com/office/infopath/2007/PartnerControls"/>
    <xsd:element name="TaxKeywordTaxHTField" ma:index="8" nillable="true" ma:taxonomy="true" ma:internalName="TaxKeywordTaxHTField" ma:taxonomyFieldName="TaxKeyword" ma:displayName="Enterprise Keywords" ma:fieldId="{23f27201-bee3-471e-b2e7-b64fd8b7ca38}" ma:taxonomyMulti="true" ma:sspId="3210dbc9-3cef-43dc-8462-745f75f011c5" ma:termSetId="00000000-0000-0000-0000-000000000000" ma:anchorId="00000000-0000-0000-0000-000000000000" ma:open="true" ma:isKeyword="true">
      <xsd:complexType>
        <xsd:sequence>
          <xsd:element ref="pc:Terms" minOccurs="0" maxOccurs="1"/>
        </xsd:sequence>
      </xsd:complexType>
    </xsd:element>
    <xsd:element name="TaxCatchAll" ma:index="9" nillable="true" ma:displayName="Taxonomy Catch All Column" ma:hidden="true" ma:list="{6d29d7d3-fe1f-4c0d-87ca-372700ae3aa6}" ma:internalName="TaxCatchAll" ma:showField="CatchAllData" ma:web="4d7a6dd9-a453-4a53-8659-96b61f7e02df">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6d29d7d3-fe1f-4c0d-87ca-372700ae3aa6}" ma:internalName="TaxCatchAllLabel" ma:readOnly="true" ma:showField="CatchAllDataLabel" ma:web="4d7a6dd9-a453-4a53-8659-96b61f7e02df">
      <xsd:complexType>
        <xsd:complexContent>
          <xsd:extension base="dms:MultiChoiceLookup">
            <xsd:sequence>
              <xsd:element name="Value" type="dms:Lookup" maxOccurs="unbounded" minOccurs="0" nillable="true"/>
            </xsd:sequence>
          </xsd:extension>
        </xsd:complexContent>
      </xsd:complexType>
    </xsd:element>
    <xsd:element name="c6b07f16e7bd43ccb47e81cbda6e3b42" ma:index="12" nillable="true" ma:taxonomy="true" ma:internalName="c6b07f16e7bd43ccb47e81cbda6e3b42" ma:taxonomyFieldName="Customer" ma:displayName="Customer" ma:default="94;#TVA|29b0a8cf-241d-4b95-909c-c9cb193dc995" ma:fieldId="{c6b07f16-e7bd-43cc-b47e-81cbda6e3b42}" ma:sspId="3210dbc9-3cef-43dc-8462-745f75f011c5" ma:termSetId="a5654c01-e683-4bf8-a75c-a8f99cfc31db"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2EE7A1-0F98-4189-8760-44EFE93E3B1A}">
  <ds:schemaRefs>
    <ds:schemaRef ds:uri="Microsoft.SharePoint.Taxonomy.ContentTypeSync"/>
  </ds:schemaRefs>
</ds:datastoreItem>
</file>

<file path=customXml/itemProps2.xml><?xml version="1.0" encoding="utf-8"?>
<ds:datastoreItem xmlns:ds="http://schemas.openxmlformats.org/officeDocument/2006/customXml" ds:itemID="{09534898-3BBA-40C8-9A78-94B2D22CC767}">
  <ds:schemaRefs>
    <ds:schemaRef ds:uri="http://schemas.microsoft.com/sharepoint/v3/contenttype/forms"/>
  </ds:schemaRefs>
</ds:datastoreItem>
</file>

<file path=customXml/itemProps3.xml><?xml version="1.0" encoding="utf-8"?>
<ds:datastoreItem xmlns:ds="http://schemas.openxmlformats.org/officeDocument/2006/customXml" ds:itemID="{C0A61796-9E13-4724-AAF4-81EC1BDFA072}">
  <ds:schemaRefs>
    <ds:schemaRef ds:uri="http://schemas.microsoft.com/office/2006/metadata/properties"/>
    <ds:schemaRef ds:uri="http://schemas.microsoft.com/office/2006/documentManagement/types"/>
    <ds:schemaRef ds:uri="http://schemas.microsoft.com/office/infopath/2007/PartnerControls"/>
    <ds:schemaRef ds:uri="http://www.w3.org/XML/1998/namespace"/>
    <ds:schemaRef ds:uri="http://purl.org/dc/dcmitype/"/>
    <ds:schemaRef ds:uri="http://purl.org/dc/elements/1.1/"/>
    <ds:schemaRef ds:uri="http://purl.org/dc/terms/"/>
    <ds:schemaRef ds:uri="http://schemas.openxmlformats.org/package/2006/metadata/core-properties"/>
    <ds:schemaRef ds:uri="b1e3aa06-bd30-4c2f-b36c-c1a3e161c657"/>
  </ds:schemaRefs>
</ds:datastoreItem>
</file>

<file path=customXml/itemProps4.xml><?xml version="1.0" encoding="utf-8"?>
<ds:datastoreItem xmlns:ds="http://schemas.openxmlformats.org/officeDocument/2006/customXml" ds:itemID="{4DC9EF21-8194-4371-8CEE-8BE1BAF450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e3aa06-bd30-4c2f-b36c-c1a3e161c6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Map</vt:lpstr>
      <vt:lpstr>EnvironmentalBenefit_Map</vt:lpstr>
      <vt:lpstr>EnvironmentalBenefit</vt:lpstr>
      <vt:lpstr>CostAvoidance_Map</vt:lpstr>
      <vt:lpstr>CostAvoidance</vt:lpstr>
      <vt:lpstr>SafetyRisk_Map</vt:lpstr>
      <vt:lpstr>SafetyRisk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Joy</dc:creator>
  <cp:lastModifiedBy>Mike Joy</cp:lastModifiedBy>
  <dcterms:created xsi:type="dcterms:W3CDTF">2018-02-20T22:53:44Z</dcterms:created>
  <dcterms:modified xsi:type="dcterms:W3CDTF">2018-10-30T23:33:04Z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0x0101003CCBF6AFE12EA94591850FFCC53785EC00FEEC8EE92D95D34CBAD0183C1B21C34E</vt:lpwstr>
  </property>
  <property fmtid="{D5CDD505-2E9C-101B-9397-08002B2CF9AE}" pid="3" name="TaxKeyword">
    <vt:lpwstr/>
  </property>
  <property fmtid="{D5CDD505-2E9C-101B-9397-08002B2CF9AE}" pid="4" name="Customer">
    <vt:lpwstr>94;#TVA|29b0a8cf-241d-4b95-909c-c9cb193dc995</vt:lpwstr>
  </property>
</Properties>
</file>